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OneDrive\Desktop\ESP DESING ESTUDIO\ESP DESING ESTUDIO\app_unified\public\"/>
    </mc:Choice>
  </mc:AlternateContent>
  <xr:revisionPtr revIDLastSave="0" documentId="13_ncr:1_{869C1456-8468-45DB-929A-89C69AC578E9}" xr6:coauthVersionLast="47" xr6:coauthVersionMax="47" xr10:uidLastSave="{00000000-0000-0000-0000-000000000000}"/>
  <bookViews>
    <workbookView xWindow="-108" yWindow="-108" windowWidth="23256" windowHeight="12576" xr2:uid="{FC341EB1-65C7-47F8-9E2D-590F22EBE9EA}"/>
  </bookViews>
  <sheets>
    <sheet name="PUMP" sheetId="1" r:id="rId1"/>
    <sheet name="MOTORS" sheetId="2" r:id="rId2"/>
  </sheets>
  <definedNames>
    <definedName name="_xlnm._FilterDatabase" localSheetId="1" hidden="1">MOTORS!$A$3:$AH$293</definedName>
    <definedName name="_xlnm._FilterDatabase" localSheetId="0" hidden="1">PUMP!$A$2:$AJ$2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5" i="2" l="1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Vu</author>
    <author>Desheng Zhou</author>
  </authors>
  <commentList>
    <comment ref="AI1" authorId="0" shapeId="0" xr:uid="{985D5E1E-C805-4AD0-8413-2BBEC24DFFC4}">
      <text>
        <r>
          <rPr>
            <b/>
            <sz val="8"/>
            <color indexed="81"/>
            <rFont val="Tahoma"/>
            <family val="2"/>
          </rPr>
          <t>Required for some Reda pump</t>
        </r>
      </text>
    </comment>
    <comment ref="X2" authorId="1" shapeId="0" xr:uid="{123D4BA2-852A-4847-9E54-296F5EEDFB8C}">
      <text>
        <r>
          <rPr>
            <b/>
            <sz val="10"/>
            <color indexed="81"/>
            <rFont val="Tahoma"/>
            <family val="2"/>
          </rPr>
          <t>Standard housing burst pressure.</t>
        </r>
        <r>
          <rPr>
            <sz val="10"/>
            <color indexed="81"/>
            <rFont val="Tahoma"/>
            <family val="2"/>
          </rPr>
          <t xml:space="preserve">
If no value provided default value = 3000 psig / 20684 kPa</t>
        </r>
      </text>
    </comment>
    <comment ref="Y2" authorId="1" shapeId="0" xr:uid="{9A405DFB-DB6C-44B8-AF27-C843DB6743AE}">
      <text>
        <r>
          <rPr>
            <b/>
            <sz val="10"/>
            <color indexed="81"/>
            <rFont val="Tahoma"/>
            <family val="2"/>
          </rPr>
          <t>High strength housing burst pressure</t>
        </r>
        <r>
          <rPr>
            <sz val="10"/>
            <color indexed="81"/>
            <rFont val="Tahoma"/>
            <family val="2"/>
          </rPr>
          <t xml:space="preserve">
If no value provided default value = 5000 psig / 34474 kPa</t>
        </r>
      </text>
    </comment>
    <comment ref="AA2" authorId="1" shapeId="0" xr:uid="{4DE9A933-9098-4A3C-B640-A44105D32A4C}">
      <text>
        <r>
          <rPr>
            <b/>
            <sz val="10"/>
            <color indexed="81"/>
            <rFont val="Tahoma"/>
            <family val="2"/>
          </rPr>
          <t>Standard shaft power limit.</t>
        </r>
        <r>
          <rPr>
            <sz val="10"/>
            <color indexed="81"/>
            <rFont val="Tahoma"/>
            <family val="2"/>
          </rPr>
          <t xml:space="preserve">
If no value provided default value = 300 hp / 223.7 kW</t>
        </r>
      </text>
    </comment>
    <comment ref="AB2" authorId="1" shapeId="0" xr:uid="{952D5531-0BB5-497A-A336-3CCEDA0B4D68}">
      <text>
        <r>
          <rPr>
            <b/>
            <sz val="10"/>
            <color indexed="81"/>
            <rFont val="Tahoma"/>
            <family val="2"/>
          </rPr>
          <t>High strength shaft power limit.</t>
        </r>
        <r>
          <rPr>
            <sz val="10"/>
            <color indexed="81"/>
            <rFont val="Tahoma"/>
            <family val="2"/>
          </rPr>
          <t xml:space="preserve">
If no value provided default value = 1000 hp / 745.7 kW</t>
        </r>
      </text>
    </comment>
    <comment ref="AC2" authorId="1" shapeId="0" xr:uid="{F4A74288-D7C4-4498-AC13-0A9BB9194ADB}">
      <text>
        <r>
          <rPr>
            <b/>
            <sz val="10"/>
            <color indexed="81"/>
            <rFont val="Tahoma"/>
            <family val="2"/>
          </rPr>
          <t>Minimum stage number in a single house.</t>
        </r>
        <r>
          <rPr>
            <sz val="10"/>
            <color indexed="81"/>
            <rFont val="Tahoma"/>
            <family val="2"/>
          </rPr>
          <t xml:space="preserve">
If no value provided default value = 1</t>
        </r>
      </text>
    </comment>
    <comment ref="AD2" authorId="1" shapeId="0" xr:uid="{3C1A5248-6327-4F82-8CA9-E1FA975E3AA5}">
      <text>
        <r>
          <rPr>
            <b/>
            <sz val="10"/>
            <color indexed="81"/>
            <rFont val="Tahoma"/>
            <family val="2"/>
          </rPr>
          <t>Maximum stage number in the largest housing.</t>
        </r>
        <r>
          <rPr>
            <sz val="10"/>
            <color indexed="81"/>
            <rFont val="Tahoma"/>
            <family val="2"/>
          </rPr>
          <t xml:space="preserve">
If no value provided default value = 9999</t>
        </r>
      </text>
    </comment>
    <comment ref="AE2" authorId="1" shapeId="0" xr:uid="{A9D1F610-82D5-4F84-8C7D-F0C7D34F5282}">
      <text>
        <r>
          <rPr>
            <b/>
            <sz val="10"/>
            <color indexed="81"/>
            <rFont val="Tahoma"/>
            <family val="2"/>
            <charset val="204"/>
          </rPr>
          <t>Minimum stage increase number.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1</t>
        </r>
      </text>
    </comment>
    <comment ref="AF2" authorId="1" shapeId="0" xr:uid="{18567DB3-5DCD-4C55-A975-5EE1781FA8AC}">
      <text>
        <r>
          <rPr>
            <b/>
            <sz val="10"/>
            <color indexed="81"/>
            <rFont val="Tahoma"/>
            <family val="2"/>
            <charset val="204"/>
          </rPr>
          <t>Maximum thrust limit at no flow per stage.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50 lbf / 222.4 N</t>
        </r>
      </text>
    </comment>
    <comment ref="AG2" authorId="1" shapeId="0" xr:uid="{CB8F2094-0DFF-465B-9B0C-6C8B461A99C5}">
      <text>
        <r>
          <rPr>
            <b/>
            <sz val="10"/>
            <color indexed="81"/>
            <rFont val="Tahoma"/>
            <family val="2"/>
            <charset val="204"/>
          </rPr>
          <t>Enter 1 for Obsolete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1" shapeId="0" xr:uid="{3156D5C0-76CD-4290-B4D1-37DFEF09507D}">
      <text>
        <r>
          <rPr>
            <b/>
            <sz val="10"/>
            <color indexed="81"/>
            <rFont val="Tahoma"/>
            <family val="2"/>
            <charset val="204"/>
          </rPr>
          <t>Enter 1 for gas handler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<sst xmlns="http://schemas.openxmlformats.org/spreadsheetml/2006/main" count="1559" uniqueCount="643">
  <si>
    <t>Required Pump data</t>
  </si>
  <si>
    <r>
      <rPr>
        <b/>
        <sz val="10"/>
        <rFont val="Arial"/>
        <family val="2"/>
      </rPr>
      <t>Head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</si>
  <si>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r>
      <rPr>
        <b/>
        <sz val="10"/>
        <rFont val="Arial"/>
        <family val="2"/>
      </rPr>
      <t>Brake HorsePower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</si>
  <si>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t>Housing</t>
  </si>
  <si>
    <t>Shaft</t>
  </si>
  <si>
    <t>Stages</t>
  </si>
  <si>
    <t>Reda Special Rates</t>
  </si>
  <si>
    <t>Manufacturer</t>
  </si>
  <si>
    <t>Series</t>
  </si>
  <si>
    <t>Model</t>
  </si>
  <si>
    <t>Min Rate</t>
  </si>
  <si>
    <t>BEP Rate</t>
  </si>
  <si>
    <t>Max Rate</t>
  </si>
  <si>
    <t>Max Efficiency</t>
  </si>
  <si>
    <t>Max Head</t>
  </si>
  <si>
    <t>Max Graph Rate</t>
  </si>
  <si>
    <t>Nameplate Frequency</t>
  </si>
  <si>
    <t>H0</t>
  </si>
  <si>
    <t>H1</t>
  </si>
  <si>
    <t>H2</t>
  </si>
  <si>
    <t>H3</t>
  </si>
  <si>
    <t>H4</t>
  </si>
  <si>
    <t>H5</t>
  </si>
  <si>
    <t>P0</t>
  </si>
  <si>
    <t>P1</t>
  </si>
  <si>
    <t>P2</t>
  </si>
  <si>
    <t>P3</t>
  </si>
  <si>
    <t>P4</t>
  </si>
  <si>
    <t>P5</t>
  </si>
  <si>
    <t>Pump OD</t>
  </si>
  <si>
    <t>Standard Burst</t>
  </si>
  <si>
    <t>High Burst</t>
  </si>
  <si>
    <t>Shaft OD</t>
  </si>
  <si>
    <t>Standard HP</t>
  </si>
  <si>
    <t>High HP</t>
  </si>
  <si>
    <t>Min Stages</t>
  </si>
  <si>
    <t>Max Stages</t>
  </si>
  <si>
    <t>Stage Increase</t>
  </si>
  <si>
    <t>Max Thrust</t>
  </si>
  <si>
    <t>Obsolete</t>
  </si>
  <si>
    <t>Gas Handler</t>
  </si>
  <si>
    <t>Qs</t>
  </si>
  <si>
    <t>Qd</t>
  </si>
  <si>
    <t>bbl/Day</t>
  </si>
  <si>
    <t>Fraction</t>
  </si>
  <si>
    <t>ft</t>
  </si>
  <si>
    <t>Hz</t>
  </si>
  <si>
    <t>in</t>
  </si>
  <si>
    <t>psi</t>
  </si>
  <si>
    <t>HP</t>
  </si>
  <si>
    <t>lbf</t>
  </si>
  <si>
    <t>272</t>
  </si>
  <si>
    <t>NАV(440-630)H</t>
  </si>
  <si>
    <t>NАV(130-250)H</t>
  </si>
  <si>
    <t>NAV(190-380)H</t>
  </si>
  <si>
    <t>319</t>
  </si>
  <si>
    <t>NBV(160-250)H</t>
  </si>
  <si>
    <t>NBV(250-500)H</t>
  </si>
  <si>
    <t>NB(630-1000)H SCMP</t>
  </si>
  <si>
    <t>Novomet</t>
  </si>
  <si>
    <t>NB(630-1000)H CMP</t>
  </si>
  <si>
    <t>NB(1100-1800)H</t>
  </si>
  <si>
    <t>NB(1500-2500)H</t>
  </si>
  <si>
    <t>NB(2000-3100)H</t>
  </si>
  <si>
    <t>362</t>
  </si>
  <si>
    <t>NFV(130-250)H</t>
  </si>
  <si>
    <t>NFV(310-630)H</t>
  </si>
  <si>
    <t>NF(900-1300)H</t>
  </si>
  <si>
    <t>NF(1300-2000)H</t>
  </si>
  <si>
    <t>NF(2000-3100)H</t>
  </si>
  <si>
    <t>NF(2500-4400)H</t>
  </si>
  <si>
    <t>NH(1200-2100)H</t>
  </si>
  <si>
    <t>NH(2500-3800)H</t>
  </si>
  <si>
    <t>535</t>
  </si>
  <si>
    <t>NP(1900-2500)H</t>
  </si>
  <si>
    <t>NP(3100-4400)H</t>
  </si>
  <si>
    <t>NP(4400-5700)H</t>
  </si>
  <si>
    <t>NP(4700-6300)H</t>
  </si>
  <si>
    <t>NP(7900-10100)H</t>
  </si>
  <si>
    <t>NP(11300-15100)H</t>
  </si>
  <si>
    <t>NR(10000-11300)H</t>
  </si>
  <si>
    <t>NR(12600-15700)H</t>
  </si>
  <si>
    <t>NR(15700-19000)H</t>
  </si>
  <si>
    <t>338</t>
  </si>
  <si>
    <t>NDV150</t>
  </si>
  <si>
    <t>NDV230</t>
  </si>
  <si>
    <t>ND600</t>
  </si>
  <si>
    <t>NDV1500</t>
  </si>
  <si>
    <t>NFV150</t>
  </si>
  <si>
    <t>NFO150</t>
  </si>
  <si>
    <t>NFV190M2</t>
  </si>
  <si>
    <t>NFV230</t>
  </si>
  <si>
    <t>NFV260</t>
  </si>
  <si>
    <t>NFV340</t>
  </si>
  <si>
    <t>NFV380</t>
  </si>
  <si>
    <t>NFV760</t>
  </si>
  <si>
    <t>NFV940</t>
  </si>
  <si>
    <t>406</t>
  </si>
  <si>
    <t>NHV200</t>
  </si>
  <si>
    <t>NHV250</t>
  </si>
  <si>
    <t>NHV380</t>
  </si>
  <si>
    <t>NHV760</t>
  </si>
  <si>
    <t>NHV940</t>
  </si>
  <si>
    <t>NHV1200</t>
  </si>
  <si>
    <t>NHV3800</t>
  </si>
  <si>
    <t>NJV6000</t>
  </si>
  <si>
    <t>NJV7600</t>
  </si>
  <si>
    <t>NJ9400</t>
  </si>
  <si>
    <t>NLV1000</t>
  </si>
  <si>
    <t>NLV1900</t>
  </si>
  <si>
    <t>NRV15000</t>
  </si>
  <si>
    <t>NRV19000</t>
  </si>
  <si>
    <t>NRV22500</t>
  </si>
  <si>
    <t>NR30000</t>
  </si>
  <si>
    <t>NT38000</t>
  </si>
  <si>
    <t>WA-550</t>
  </si>
  <si>
    <t>WA-900</t>
  </si>
  <si>
    <t>WA-1200</t>
  </si>
  <si>
    <t>WA-1500</t>
  </si>
  <si>
    <t>400</t>
  </si>
  <si>
    <t>WD-300</t>
  </si>
  <si>
    <t>WD-450</t>
  </si>
  <si>
    <t>WD-650</t>
  </si>
  <si>
    <t>WD-850</t>
  </si>
  <si>
    <t>WD-1000</t>
  </si>
  <si>
    <t>WD-1000MF</t>
  </si>
  <si>
    <t>WD-1300</t>
  </si>
  <si>
    <t>WD-1750</t>
  </si>
  <si>
    <t>WD-2150</t>
  </si>
  <si>
    <t>WD-3000</t>
  </si>
  <si>
    <t>WD-4300</t>
  </si>
  <si>
    <t>WD-6000</t>
  </si>
  <si>
    <t>513</t>
  </si>
  <si>
    <t>WG-1600</t>
  </si>
  <si>
    <t>WG-2000</t>
  </si>
  <si>
    <t>WG-2500</t>
  </si>
  <si>
    <t>WG-3200</t>
  </si>
  <si>
    <t>WG-4000</t>
  </si>
  <si>
    <t>WG-5600</t>
  </si>
  <si>
    <t>WG-10000</t>
  </si>
  <si>
    <t>538</t>
  </si>
  <si>
    <t>WE-1500R</t>
  </si>
  <si>
    <t>WE-1500</t>
  </si>
  <si>
    <t>WE-2600</t>
  </si>
  <si>
    <t>WE-3600</t>
  </si>
  <si>
    <t>WE-5500</t>
  </si>
  <si>
    <t>WE-7000</t>
  </si>
  <si>
    <t>WE-8500</t>
  </si>
  <si>
    <t>WE-11000</t>
  </si>
  <si>
    <t>562</t>
  </si>
  <si>
    <t>WH-15000</t>
  </si>
  <si>
    <t>WH-20000</t>
  </si>
  <si>
    <t>WH-30000</t>
  </si>
  <si>
    <t>675</t>
  </si>
  <si>
    <t>WJ-7500</t>
  </si>
  <si>
    <t>WJ-9000</t>
  </si>
  <si>
    <t>WJ-12000</t>
  </si>
  <si>
    <t>WJ-16000</t>
  </si>
  <si>
    <t>862</t>
  </si>
  <si>
    <t>WM-520A</t>
  </si>
  <si>
    <t>WM-520B</t>
  </si>
  <si>
    <t>WM-520C</t>
  </si>
  <si>
    <t>WM-675A</t>
  </si>
  <si>
    <t>WM-675B</t>
  </si>
  <si>
    <t>WM-675C</t>
  </si>
  <si>
    <t>950</t>
  </si>
  <si>
    <t>WN-1050A</t>
  </si>
  <si>
    <t>WN-1050B</t>
  </si>
  <si>
    <t>WN-1050C</t>
  </si>
  <si>
    <t>1000</t>
  </si>
  <si>
    <t>WP-1000A</t>
  </si>
  <si>
    <t>WP-1200A</t>
  </si>
  <si>
    <t>1100</t>
  </si>
  <si>
    <t>WQ-1800A</t>
  </si>
  <si>
    <t>WE5000</t>
  </si>
  <si>
    <t>WA-2700</t>
  </si>
  <si>
    <t>SD-2500</t>
  </si>
  <si>
    <t>SD-650</t>
  </si>
  <si>
    <t>REQUIRED DATA</t>
  </si>
  <si>
    <t>RPM Coefficients</t>
  </si>
  <si>
    <t>% NP Amps Coefficients</t>
  </si>
  <si>
    <t>Power Factor Coefficients</t>
  </si>
  <si>
    <t>Efficiency Coefficents</t>
  </si>
  <si>
    <t>Optional Data</t>
  </si>
  <si>
    <t>Type</t>
  </si>
  <si>
    <t>Motor Length</t>
  </si>
  <si>
    <t>Nameplate HP</t>
  </si>
  <si>
    <t>Nameplate Voltage</t>
  </si>
  <si>
    <t>Nameplate Current</t>
  </si>
  <si>
    <t>R0</t>
  </si>
  <si>
    <t>R1</t>
  </si>
  <si>
    <t>R2</t>
  </si>
  <si>
    <t>R3</t>
  </si>
  <si>
    <t>R4</t>
  </si>
  <si>
    <t>R5</t>
  </si>
  <si>
    <t>A0</t>
  </si>
  <si>
    <t>A1</t>
  </si>
  <si>
    <t>A2</t>
  </si>
  <si>
    <t>A3</t>
  </si>
  <si>
    <t>A4</t>
  </si>
  <si>
    <t>A5</t>
  </si>
  <si>
    <t>E0</t>
  </si>
  <si>
    <t>E1</t>
  </si>
  <si>
    <t>E2</t>
  </si>
  <si>
    <t>E3</t>
  </si>
  <si>
    <t>E4</t>
  </si>
  <si>
    <t>E5</t>
  </si>
  <si>
    <t>Diameter</t>
  </si>
  <si>
    <t>RPM</t>
  </si>
  <si>
    <t>Shaft HP</t>
  </si>
  <si>
    <t>Configuration</t>
  </si>
  <si>
    <t>Volts</t>
  </si>
  <si>
    <t>Amps</t>
  </si>
  <si>
    <t>460</t>
  </si>
  <si>
    <t>512</t>
  </si>
  <si>
    <t>NА(630-1300)H</t>
  </si>
  <si>
    <t>NF(1000-1600)H</t>
  </si>
  <si>
    <t>NFV(65-125)H</t>
  </si>
  <si>
    <t>NHV(790-1000)H</t>
  </si>
  <si>
    <t>NH(1000-1600)H</t>
  </si>
  <si>
    <t>NH(1600-2300)H</t>
  </si>
  <si>
    <t>NH(2500-3100)H</t>
  </si>
  <si>
    <t>NH(4400-5000)H</t>
  </si>
  <si>
    <t>677</t>
  </si>
  <si>
    <t>ND470</t>
  </si>
  <si>
    <t>NFV110</t>
  </si>
  <si>
    <t>NFV450</t>
  </si>
  <si>
    <t>NFV600</t>
  </si>
  <si>
    <t>NF1500</t>
  </si>
  <si>
    <t>NFV3800</t>
  </si>
  <si>
    <t>NHV600</t>
  </si>
  <si>
    <t>NH1500</t>
  </si>
  <si>
    <t>NH3000</t>
  </si>
  <si>
    <t>NHV5300</t>
  </si>
  <si>
    <t>449</t>
  </si>
  <si>
    <t>484</t>
  </si>
  <si>
    <t>NRV3800</t>
  </si>
  <si>
    <t>NRV7600</t>
  </si>
  <si>
    <t>NR12000</t>
  </si>
  <si>
    <t>728</t>
  </si>
  <si>
    <t>NP17000</t>
  </si>
  <si>
    <t>MPP940</t>
  </si>
  <si>
    <t>MPP1500</t>
  </si>
  <si>
    <t>MPP2400</t>
  </si>
  <si>
    <t>MPP3800</t>
  </si>
  <si>
    <t>217</t>
  </si>
  <si>
    <t>N217(310-910)H</t>
  </si>
  <si>
    <t>NR34000</t>
  </si>
  <si>
    <t>NH(1500-2500)H</t>
  </si>
  <si>
    <t>WD1000ZX(N)</t>
  </si>
  <si>
    <t>WE1600(N)</t>
  </si>
  <si>
    <t>WE5000(N)</t>
  </si>
  <si>
    <t>WA-2500(N)</t>
  </si>
  <si>
    <t>378</t>
  </si>
  <si>
    <t>AM26 600V</t>
  </si>
  <si>
    <t>AM35 840V</t>
  </si>
  <si>
    <t>AM51 1200V</t>
  </si>
  <si>
    <t>AM72 1740V</t>
  </si>
  <si>
    <t>AM80 1980V</t>
  </si>
  <si>
    <t>AM90 2040V</t>
  </si>
  <si>
    <t>AM110 2760V</t>
  </si>
  <si>
    <t>AM160 3600V</t>
  </si>
  <si>
    <t>AM26 720V</t>
  </si>
  <si>
    <t>AM45 1020V</t>
  </si>
  <si>
    <t>AM64 1200V</t>
  </si>
  <si>
    <t>AM72 1380V</t>
  </si>
  <si>
    <t>AM90 1920V</t>
  </si>
  <si>
    <t>AM100 1980V</t>
  </si>
  <si>
    <t>AM115 2160V</t>
  </si>
  <si>
    <t>AM130 2400V</t>
  </si>
  <si>
    <t>AM110 2160V</t>
  </si>
  <si>
    <t>AM145 2520V</t>
  </si>
  <si>
    <t>AM160 2520V</t>
  </si>
  <si>
    <t>AM200 2760V</t>
  </si>
  <si>
    <t>AM225 2880V</t>
  </si>
  <si>
    <t>AM255 3480V</t>
  </si>
  <si>
    <t>AM290 3720V</t>
  </si>
  <si>
    <t>AM320 4200V</t>
  </si>
  <si>
    <t>AM19 804V</t>
  </si>
  <si>
    <t>AM26 780V</t>
  </si>
  <si>
    <t>AM40 960V</t>
  </si>
  <si>
    <t>AM45 1080V</t>
  </si>
  <si>
    <t>AM64 1500V</t>
  </si>
  <si>
    <t>AM72 1680V</t>
  </si>
  <si>
    <t>AM80 1740V</t>
  </si>
  <si>
    <t>AM90 1680V</t>
  </si>
  <si>
    <t>AM100 2280V</t>
  </si>
  <si>
    <t>AM115 2400V</t>
  </si>
  <si>
    <t>AM130 2520V</t>
  </si>
  <si>
    <t>AM145 2400V</t>
  </si>
  <si>
    <t>AM160 2400V</t>
  </si>
  <si>
    <t>AM200 2520V</t>
  </si>
  <si>
    <t>AM200 1920V</t>
  </si>
  <si>
    <t>AM225 2280V</t>
  </si>
  <si>
    <t>AM240 2400V</t>
  </si>
  <si>
    <t>AM255 2520V</t>
  </si>
  <si>
    <t>AM290 2760V</t>
  </si>
  <si>
    <t>AM320 3120V</t>
  </si>
  <si>
    <t>AM350 3240V</t>
  </si>
  <si>
    <t>AM400 3480V</t>
  </si>
  <si>
    <t>AM400 3600V</t>
  </si>
  <si>
    <t>AM430 3960V</t>
  </si>
  <si>
    <t>AM480 4440V</t>
  </si>
  <si>
    <t>AM515 4740V</t>
  </si>
  <si>
    <t>AM51 1140V</t>
  </si>
  <si>
    <t>AM72 1500V</t>
  </si>
  <si>
    <t>AM100 1620V</t>
  </si>
  <si>
    <t>AM115 2340V</t>
  </si>
  <si>
    <t>AM130 2340V</t>
  </si>
  <si>
    <t>AM145 2340V</t>
  </si>
  <si>
    <t>AM235 3000V</t>
  </si>
  <si>
    <t>AM290 2880V</t>
  </si>
  <si>
    <t>AM320 3180V</t>
  </si>
  <si>
    <t>AM400 2880V</t>
  </si>
  <si>
    <t>AM480 3360V</t>
  </si>
  <si>
    <t>AM560 4440V</t>
  </si>
  <si>
    <t>AM640 4740V</t>
  </si>
  <si>
    <t>AM720 5040V</t>
  </si>
  <si>
    <t>AM100 1476V</t>
  </si>
  <si>
    <t>AM120 1800V</t>
  </si>
  <si>
    <t>AM140 2040V</t>
  </si>
  <si>
    <t>AM160 2340V</t>
  </si>
  <si>
    <t>AM175 2400V</t>
  </si>
  <si>
    <t>AM175 1164V</t>
  </si>
  <si>
    <t>AM200 2916V</t>
  </si>
  <si>
    <t>AM200 1284V</t>
  </si>
  <si>
    <t>AM240 2880V</t>
  </si>
  <si>
    <t>AM245 3120V</t>
  </si>
  <si>
    <t>AM265 2964V</t>
  </si>
  <si>
    <t>AM295 2880V</t>
  </si>
  <si>
    <t>AM310 2916V</t>
  </si>
  <si>
    <t>AM350 3120V</t>
  </si>
  <si>
    <t>AM420 3960V</t>
  </si>
  <si>
    <t>AM480 4320V</t>
  </si>
  <si>
    <t>AM510 4704V</t>
  </si>
  <si>
    <t>AM550 3768V</t>
  </si>
  <si>
    <t>AM600 4200V</t>
  </si>
  <si>
    <t>AM640 4392V</t>
  </si>
  <si>
    <t>AM710 4800V</t>
  </si>
  <si>
    <t>AM890 4800V</t>
  </si>
  <si>
    <t>744</t>
  </si>
  <si>
    <t>AM160 2160V</t>
  </si>
  <si>
    <t>AM200 2640V</t>
  </si>
  <si>
    <t>AM320 3480V</t>
  </si>
  <si>
    <t>AM400 3360V</t>
  </si>
  <si>
    <t>AM640 3720V</t>
  </si>
  <si>
    <t>AM800 4200V</t>
  </si>
  <si>
    <t>AM1050 4800V</t>
  </si>
  <si>
    <t>PM64 1840V</t>
  </si>
  <si>
    <t>PM51 1480V</t>
  </si>
  <si>
    <t>PM35 1100V</t>
  </si>
  <si>
    <t>AM640 4000V</t>
  </si>
  <si>
    <t>AM710 4000V</t>
  </si>
  <si>
    <t>AM890 4150V</t>
  </si>
  <si>
    <t>AM1370 4400V</t>
  </si>
  <si>
    <t>AM1400 4400V</t>
  </si>
  <si>
    <t>AM1530 4740V</t>
  </si>
  <si>
    <t>PM270 3600V</t>
  </si>
  <si>
    <t>PM19 530V</t>
  </si>
  <si>
    <t>PM29 670V</t>
  </si>
  <si>
    <t>PM43 890V</t>
  </si>
  <si>
    <t>PM54 1010V</t>
  </si>
  <si>
    <t>PM67 1090V</t>
  </si>
  <si>
    <t>PM84 1280V</t>
  </si>
  <si>
    <t>PM94 1340V</t>
  </si>
  <si>
    <t>PM105 1440V</t>
  </si>
  <si>
    <t>PM120 1620V</t>
  </si>
  <si>
    <t>PM135 1620V</t>
  </si>
  <si>
    <t>PM145 2960V</t>
  </si>
  <si>
    <t>PM170 3200V</t>
  </si>
  <si>
    <t>PM190 3620V</t>
  </si>
  <si>
    <t>PM215 3540V</t>
  </si>
  <si>
    <t>PM240 3380V</t>
  </si>
  <si>
    <t>PM1340 3320V</t>
  </si>
  <si>
    <t>PM740 4140V</t>
  </si>
  <si>
    <t>PM900 4020V</t>
  </si>
  <si>
    <t>PM1360 4380V</t>
  </si>
  <si>
    <t>N460PM360 4210V 6.0RPM SGL</t>
  </si>
  <si>
    <t>560</t>
  </si>
  <si>
    <t>SPECTRUM PMM</t>
  </si>
  <si>
    <t>N460PM51 1480V 3.6RPM SGL</t>
  </si>
  <si>
    <t>N460PM64 1840V 3.6RPM SGL</t>
  </si>
  <si>
    <t>N460PM80 2220V 3.6RPM SGL</t>
  </si>
  <si>
    <t>N460PM100 2630V 3.6RPM SGL</t>
  </si>
  <si>
    <t>N460PM130 3370V 3.6RPM SGL</t>
  </si>
  <si>
    <t>N460PM185 3750V 3.6RPM SGL</t>
  </si>
  <si>
    <t>N460PM200 4060V 3.6RPM SGL</t>
  </si>
  <si>
    <t>N460PM225 4070V 3.6RPM SGL</t>
  </si>
  <si>
    <t>N460PM240 4030V 3.6RPM SGL</t>
  </si>
  <si>
    <t>N512PM100 2110V 3.6RPM SGL</t>
  </si>
  <si>
    <t>N512PM200 4200V 3.6RPM SGL</t>
  </si>
  <si>
    <t>N512PM295 3890V 3.6RPM SGL</t>
  </si>
  <si>
    <t>N512PM320 3870V 3.6RPM SGL</t>
  </si>
  <si>
    <t>N512PM370 4090V 3.6RPM SGL</t>
  </si>
  <si>
    <t>N512PM400 3940V 3.6RPM SGL</t>
  </si>
  <si>
    <t>N512PM450 3960V 3.6RPM SGL</t>
  </si>
  <si>
    <t>N512PM480 4260V 3.6RPM SGL</t>
  </si>
  <si>
    <t>N512PM900 4020V 3.6RPM DBL</t>
  </si>
  <si>
    <t>N406AM50 1200V SGL</t>
  </si>
  <si>
    <t>N406AM64 1320V SGL</t>
  </si>
  <si>
    <t>N406AM90 1660V SGL</t>
  </si>
  <si>
    <t>N406AM100 1940V SGL</t>
  </si>
  <si>
    <t>N406AM200 2830V DBL</t>
  </si>
  <si>
    <t>N460AM51 1200V SGL</t>
  </si>
  <si>
    <t>N460AM64 1500V SGL</t>
  </si>
  <si>
    <t>N460AM80 1740V SGL</t>
  </si>
  <si>
    <t>N460AM100 2280V SGL</t>
  </si>
  <si>
    <t>N460AM130 2520V SGL</t>
  </si>
  <si>
    <t>N460AM200 2820V SGL</t>
  </si>
  <si>
    <t>N460AM255 2520V DBL</t>
  </si>
  <si>
    <t>N512AM100 2400V SGL</t>
  </si>
  <si>
    <t>N512AM400 3480V DBL</t>
  </si>
  <si>
    <t>N512AM640 4320V TRP</t>
  </si>
  <si>
    <t>N562AM100 1476V SGL</t>
  </si>
  <si>
    <t>N562AM200 2916V SGL</t>
  </si>
  <si>
    <t>N562AM295 2880V SGL</t>
  </si>
  <si>
    <t>N562AM240 2880V SGL</t>
  </si>
  <si>
    <t>N562AM310 2916V SGL</t>
  </si>
  <si>
    <t>N562AM350 3120V SGL</t>
  </si>
  <si>
    <t>N562AM420 3960V DBL</t>
  </si>
  <si>
    <t>N562AM480 4320V DBL</t>
  </si>
  <si>
    <t>N562AM510 4704V DBL</t>
  </si>
  <si>
    <t>N562AM640 4392V DBL</t>
  </si>
  <si>
    <t>N562AM890 4800V TRP</t>
  </si>
  <si>
    <t>WSP</t>
  </si>
  <si>
    <t>456</t>
  </si>
  <si>
    <t>550</t>
  </si>
  <si>
    <t>FLEX47</t>
  </si>
  <si>
    <t>N/A</t>
  </si>
  <si>
    <t>FlEX27</t>
  </si>
  <si>
    <t>64.36</t>
  </si>
  <si>
    <t>29.07</t>
  </si>
  <si>
    <t>2.91E+01</t>
  </si>
  <si>
    <t>-3.94E-03</t>
  </si>
  <si>
    <t>1.98E-06</t>
  </si>
  <si>
    <t>-2.84E-09</t>
  </si>
  <si>
    <t>8.92E-13</t>
  </si>
  <si>
    <t>-1.18E-16</t>
  </si>
  <si>
    <t>2.81E-01</t>
  </si>
  <si>
    <t>1.07E-05</t>
  </si>
  <si>
    <t>1.03E-07</t>
  </si>
  <si>
    <t>-6.02E-11</t>
  </si>
  <si>
    <t>9.54E-15</t>
  </si>
  <si>
    <t>-1.86E-19</t>
  </si>
  <si>
    <t>S4000N</t>
  </si>
  <si>
    <t>72.7</t>
  </si>
  <si>
    <t>71.41</t>
  </si>
  <si>
    <t>7.18E+01</t>
  </si>
  <si>
    <t>-1.77E-03</t>
  </si>
  <si>
    <t>1.11E-06</t>
  </si>
  <si>
    <t>-2.76E-10</t>
  </si>
  <si>
    <t>-2.91E-14</t>
  </si>
  <si>
    <t>4.55E-18</t>
  </si>
  <si>
    <t>1.03E+00</t>
  </si>
  <si>
    <t>5.04E-04</t>
  </si>
  <si>
    <t>-3.17E-08</t>
  </si>
  <si>
    <t>-3.37E-13</t>
  </si>
  <si>
    <t>5.81E-25</t>
  </si>
  <si>
    <t>-2.09E-29</t>
  </si>
  <si>
    <t>5.38</t>
  </si>
  <si>
    <t>FLEX15</t>
  </si>
  <si>
    <t>56.4</t>
  </si>
  <si>
    <t>71.7</t>
  </si>
  <si>
    <t>7.17E+01</t>
  </si>
  <si>
    <t>4.00E-04</t>
  </si>
  <si>
    <t>-1.00E-05</t>
  </si>
  <si>
    <t>1.00E-08</t>
  </si>
  <si>
    <t>-4.00E-12</t>
  </si>
  <si>
    <t>4.00E-16</t>
  </si>
  <si>
    <t>6.62E-01</t>
  </si>
  <si>
    <t>2.00E-04</t>
  </si>
  <si>
    <t>1.00E-07</t>
  </si>
  <si>
    <t>6.00E-11</t>
  </si>
  <si>
    <t>-9.00E-14</t>
  </si>
  <si>
    <t>3.00E-17</t>
  </si>
  <si>
    <t>0.875</t>
  </si>
  <si>
    <t>Schlumberger</t>
  </si>
  <si>
    <t>71.2</t>
  </si>
  <si>
    <t>55.42</t>
  </si>
  <si>
    <t>-0.01152</t>
  </si>
  <si>
    <t>0.125</t>
  </si>
  <si>
    <t>0.0001845</t>
  </si>
  <si>
    <t>5.12e-15</t>
  </si>
  <si>
    <t>4.00</t>
  </si>
  <si>
    <t>0.688</t>
  </si>
  <si>
    <t>No</t>
  </si>
  <si>
    <t>1.0</t>
  </si>
  <si>
    <t>72.5</t>
  </si>
  <si>
    <t>48.65</t>
  </si>
  <si>
    <t>-0.008542</t>
  </si>
  <si>
    <t>4.85e-09</t>
  </si>
  <si>
    <t>-8.24e-13</t>
  </si>
  <si>
    <t>0.155</t>
  </si>
  <si>
    <t>0.0002145</t>
  </si>
  <si>
    <t>9.85e-08</t>
  </si>
  <si>
    <t>-3.54e-11</t>
  </si>
  <si>
    <t>73.8</t>
  </si>
  <si>
    <t>42.15</t>
  </si>
  <si>
    <t>-0.006425</t>
  </si>
  <si>
    <t>-9.84e-06</t>
  </si>
  <si>
    <t>3.12e-09</t>
  </si>
  <si>
    <t>-5.45e-13</t>
  </si>
  <si>
    <t>0.185</t>
  </si>
  <si>
    <t>0.000245</t>
  </si>
  <si>
    <t>8.12e-08</t>
  </si>
  <si>
    <t>-2.85e-11</t>
  </si>
  <si>
    <t>3.12e-15</t>
  </si>
  <si>
    <t>74.2</t>
  </si>
  <si>
    <t>41.5</t>
  </si>
  <si>
    <t>-0.00585</t>
  </si>
  <si>
    <t>-9.12e-06</t>
  </si>
  <si>
    <t>2.85e-09</t>
  </si>
  <si>
    <t>-4.95e-13</t>
  </si>
  <si>
    <t>0.198</t>
  </si>
  <si>
    <t>0.000258</t>
  </si>
  <si>
    <t>7.45e-08</t>
  </si>
  <si>
    <t>-2.42e-11</t>
  </si>
  <si>
    <t>2.85e-15</t>
  </si>
  <si>
    <t>DN1050</t>
  </si>
  <si>
    <t>DN1400</t>
  </si>
  <si>
    <t>DN1750</t>
  </si>
  <si>
    <t>DN1800</t>
  </si>
  <si>
    <t>BakerHughes</t>
  </si>
  <si>
    <t>Alkhorayef</t>
  </si>
  <si>
    <t>XT1-S 330HP 1950V 102,5AMP</t>
  </si>
  <si>
    <t>XT1-S 287HP 1567V 92,5967749220832AMP</t>
  </si>
  <si>
    <t>XT1-S 782HP 2773V 160,8AMP</t>
  </si>
  <si>
    <t>XT1-S 730HP 2844V 155AMP</t>
  </si>
  <si>
    <t>XT1-S 391HP 1454V 160,8AMP</t>
  </si>
  <si>
    <t>XT1-S 104HP 2832V 22AMP</t>
  </si>
  <si>
    <t>XT1-S 391HP 2287V 92,5967749220832AMP</t>
  </si>
  <si>
    <t>XT1-S 574HP 3547V 92,5967749220832AMP</t>
  </si>
  <si>
    <t>XT1-S 574HP 3311V 92,5967749220832AMP</t>
  </si>
  <si>
    <t>XT1-S 391HP 3564V 92,6AMP</t>
  </si>
  <si>
    <t>XT1-S 574HP 3462V 92,5967749220832AMP</t>
  </si>
  <si>
    <t>XT1-S 287HP 1731V 92,5967749220832AMP</t>
  </si>
  <si>
    <t>XT1-S 391HP 2217V 92,5967749220832AMP</t>
  </si>
  <si>
    <t>XT1-S 15HP 2043V 92,5967749220832AMP</t>
  </si>
  <si>
    <t>XT1-S 400HP 3354V 74AMP</t>
  </si>
  <si>
    <t>XT1-S 206HP 1330V 99AMP</t>
  </si>
  <si>
    <t>XT1-S 110HP 2184V 33AMP</t>
  </si>
  <si>
    <t>XT1-S 90HP 2245V 28,4AMP</t>
  </si>
  <si>
    <t>XT1-S 105HP 2144V 32AMP</t>
  </si>
  <si>
    <t>XT1-S 43,5HP 1330V 23,0203754473066AMP</t>
  </si>
  <si>
    <t>XT1-S 339HP 3019V 57,8AMP</t>
  </si>
  <si>
    <t>XT1-S 391HP 3210V 66,4AMP</t>
  </si>
  <si>
    <t>XT1-S 339HP 3352V 57,8AMP</t>
  </si>
  <si>
    <t>XT1-S 365HP 3156V 66,4AMP</t>
  </si>
  <si>
    <t>XT1-S 261HP 2032V 66,4AMP</t>
  </si>
  <si>
    <t>XT1-S 157HP 2962V 30,7AMP</t>
  </si>
  <si>
    <t>XT1-S 287HP 3255V 51,5AMP</t>
  </si>
  <si>
    <t>XT2-S 150HP 3190V 29AMP</t>
  </si>
  <si>
    <t>XT1-T 240HP 2854V 46AMP</t>
  </si>
  <si>
    <t>XT1-S 391HP 3303V 66,4AMP</t>
  </si>
  <si>
    <t>XT1-T 626HP 3018V 116,5AMP</t>
  </si>
  <si>
    <t>XT1-S 783HP 3454V 132,8AMP</t>
  </si>
  <si>
    <t>XT1-S 522HP 3062V 92,6AMP</t>
  </si>
  <si>
    <t>XT1-S 313HP 3093V 57,8AMP</t>
  </si>
  <si>
    <t>XT1-S 183HP 3384V 30,7AMP</t>
  </si>
  <si>
    <t>XT1-S 450HP 3032V 86,7AMP</t>
  </si>
  <si>
    <t>XT1-S 157HP 3032V 30,7AMP</t>
  </si>
  <si>
    <t>XT1-S 261HP 2303V 66,4AMP</t>
  </si>
  <si>
    <t>XT1-S 287HP 3112V 51,5AMP</t>
  </si>
  <si>
    <t>XT1-D 574HP 3001V 92,5967749220832AMP</t>
  </si>
  <si>
    <t>XT1-D 730HP 3497V 116,1AMP</t>
  </si>
  <si>
    <t>XT1-D 470HP 3342V 78,1AMP</t>
  </si>
  <si>
    <t>XT1-S 183HP 3303V 30,7AMP</t>
  </si>
  <si>
    <t>XT1-S 157HP 2662V 30,7AMP</t>
  </si>
  <si>
    <t>XT1-T 574HP 3497V 92,5967749220832AMP</t>
  </si>
  <si>
    <t>XT1-D 626HP 3096V 116,5AMP</t>
  </si>
  <si>
    <t>XT1-D 320HP 2068V 99AMP</t>
  </si>
  <si>
    <t>XT1-D 298HP 2924V 65AMP</t>
  </si>
  <si>
    <t>XT1-T 1350HP 4575V 177AMP</t>
  </si>
  <si>
    <t>XT1 120HP 1855V 41AMP</t>
  </si>
  <si>
    <t>XT1-s 261HP 1454V 92,5967749220832AMP</t>
  </si>
  <si>
    <t>XT1 200HP 2012V 46AMP</t>
  </si>
  <si>
    <t>XT1-s 230HP 3112V 43,4AMP</t>
  </si>
  <si>
    <t>XT1-s 235HP 3144V 44AMP</t>
  </si>
  <si>
    <t>XT1-s 130HP 1256V 57,8AMP</t>
  </si>
  <si>
    <t>XT1-S 391HP 1948V 92,6AMP</t>
  </si>
  <si>
    <t>XT1-D 412HP 3356V 78,5AMP</t>
  </si>
  <si>
    <t>PMM HV 16HP 504V 17,2AMP</t>
  </si>
  <si>
    <t>PMM LV 16HP 396V 21,7AMP</t>
  </si>
  <si>
    <t>PMM HV 32HP 1008V 17AMP</t>
  </si>
  <si>
    <t>PMM LV 32HP 792V 21,5AMP</t>
  </si>
  <si>
    <t>PMM HV 48,276792HP 1500V 16,9AMP</t>
  </si>
  <si>
    <t>PMM LV 48,276792HP 1200V 21,4AMP</t>
  </si>
  <si>
    <t>PMM HV 64,369056HP 2040V 16,9AMP</t>
  </si>
  <si>
    <t>PMM LV 64,369056HP 1560V 21,4AMP</t>
  </si>
  <si>
    <t>PMM HV 80,46132HP 2520V 16,8AMP</t>
  </si>
  <si>
    <t>PMM LV 80,46132HP 1980V 21,4AMP</t>
  </si>
  <si>
    <t>PMM HV 96,553584HP 3000V 16,8AMP</t>
  </si>
  <si>
    <t>PMM LV 96,553584HP 2400V 21,4AMP</t>
  </si>
  <si>
    <t>PMM HV 112,645848HP 2760V 21,4AMP</t>
  </si>
  <si>
    <t>PMM LV 112,645848HP 2280V 26,3AMP</t>
  </si>
  <si>
    <t>PMM HV 128,738112HP 2880V 23,7AMP</t>
  </si>
  <si>
    <t>PMM LV 128,738112HP 2280V 29,5AMP</t>
  </si>
  <si>
    <t>PMM HV 144,830376HP 2520V 28,8AMP</t>
  </si>
  <si>
    <t>PMM LV 144,830376HP 1920V 38,6AMP</t>
  </si>
  <si>
    <t>PMM HV 160,92264HP 2880V 29,6AMP</t>
  </si>
  <si>
    <t>PMM LV 160,92264HP 2160V 39,7AMP</t>
  </si>
  <si>
    <t>PMM HV 177,014904HP 3000V 29,1AMP</t>
  </si>
  <si>
    <t>PMM LV 177,014904HP 2280V 39,2AMP</t>
  </si>
  <si>
    <t>PMM 193,107168HP 2520V 39AMP</t>
  </si>
  <si>
    <t>PMM 209,199432HP 2760V 39AMP</t>
  </si>
  <si>
    <t>PMM HV 241,38396HP 2940V 43,3AMP</t>
  </si>
  <si>
    <t>PMM LV 241,38396HP 2400V 55,3AMP</t>
  </si>
  <si>
    <t>PMM 281,61462HP 2760V 52,2AMP</t>
  </si>
  <si>
    <t>PMM 324HP 3261V 54,2AMP</t>
  </si>
  <si>
    <t>PMM 370HP 3360V 57,1AMP</t>
  </si>
  <si>
    <t>PMM 402HP 3720V 57AMP</t>
  </si>
  <si>
    <t>XT3-T 1173HP 4362V 160,8AMP</t>
  </si>
  <si>
    <t>FLEXER</t>
  </si>
  <si>
    <t>WE-8000</t>
  </si>
  <si>
    <t>S8000N</t>
  </si>
  <si>
    <t>6.44E+01</t>
  </si>
  <si>
    <t>1.90E+00</t>
  </si>
  <si>
    <t>3.05E-04</t>
  </si>
  <si>
    <t>-9.94E-07</t>
  </si>
  <si>
    <t>2.35E-10</t>
  </si>
  <si>
    <t>-2.43E-14</t>
  </si>
  <si>
    <t>7.62E-19</t>
  </si>
  <si>
    <t>1.91E-04</t>
  </si>
  <si>
    <t>2.31E-08</t>
  </si>
  <si>
    <t>-1.34E-12</t>
  </si>
  <si>
    <t>-1.84E-16</t>
  </si>
  <si>
    <t>8.35E-21</t>
  </si>
  <si>
    <t>E8000</t>
  </si>
  <si>
    <t>7.70E+01</t>
  </si>
  <si>
    <t>-1.90E-03</t>
  </si>
  <si>
    <t>-2.74E-07</t>
  </si>
  <si>
    <t>3.67E-11</t>
  </si>
  <si>
    <t>-4.04E-15</t>
  </si>
  <si>
    <t>9.29E-20</t>
  </si>
  <si>
    <t>2.92E+00</t>
  </si>
  <si>
    <t>3.26E-04</t>
  </si>
  <si>
    <t xml:space="preserve"> -1.12E-07</t>
  </si>
  <si>
    <t>2.07E-11</t>
  </si>
  <si>
    <t>-1.61E-15</t>
  </si>
  <si>
    <t>4.31E-20</t>
  </si>
  <si>
    <t>WE-2700</t>
  </si>
  <si>
    <t>Baker Hughes</t>
  </si>
  <si>
    <t>P155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</si>
</sst>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20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  <charset val="204"/>
    </font>
    <font>
      <sz val="10"/>
      <color theme="3" tint="-0.499984740745262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8"/>
      <color rgb="FFFF0000"/>
      <name val="Arial"/>
      <family val="2"/>
    </font>
    <font>
      <b/>
      <sz val="12"/>
      <name val="Arial"/>
      <family val="2"/>
    </font>
    <font>
      <sz val="10"/>
      <color rgb="FF16365C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1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Alignment="1" applyProtection="1">
      <alignment horizontal="center" vertical="center"/>
      <protection locked="0"/>
    </xf>
    <xf numFmtId="11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4" borderId="1" xfId="0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3" fillId="0" borderId="0" xfId="1" applyNumberFormat="1" applyAlignment="1" applyProtection="1">
      <alignment horizontal="center" vertical="center"/>
      <protection locked="0"/>
    </xf>
    <xf numFmtId="1" fontId="0" fillId="8" borderId="0" xfId="0" applyNumberFormat="1" applyFill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2" fillId="7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9" fontId="3" fillId="3" borderId="0" xfId="1" applyNumberFormat="1" applyFill="1" applyAlignment="1">
      <alignment vertical="center" wrapText="1"/>
    </xf>
    <xf numFmtId="49" fontId="3" fillId="3" borderId="0" xfId="1" applyNumberFormat="1" applyFill="1" applyAlignment="1">
      <alignment vertical="center"/>
    </xf>
    <xf numFmtId="49" fontId="3" fillId="4" borderId="0" xfId="1" applyNumberFormat="1" applyFill="1" applyAlignment="1">
      <alignment vertical="center" wrapText="1"/>
    </xf>
    <xf numFmtId="49" fontId="3" fillId="4" borderId="0" xfId="1" applyNumberForma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2" fillId="9" borderId="0" xfId="0" applyFont="1" applyFill="1" applyBorder="1" applyAlignment="1"/>
    <xf numFmtId="0" fontId="2" fillId="12" borderId="0" xfId="0" applyFont="1" applyFill="1" applyBorder="1" applyAlignment="1"/>
    <xf numFmtId="0" fontId="1" fillId="0" borderId="0" xfId="0" applyFont="1" applyFill="1" applyBorder="1" applyAlignment="1"/>
    <xf numFmtId="0" fontId="17" fillId="0" borderId="0" xfId="0" applyFont="1" applyFill="1" applyBorder="1" applyAlignment="1"/>
    <xf numFmtId="11" fontId="17" fillId="0" borderId="0" xfId="0" applyNumberFormat="1" applyFont="1" applyFill="1" applyBorder="1" applyAlignment="1"/>
    <xf numFmtId="11" fontId="1" fillId="0" borderId="0" xfId="0" applyNumberFormat="1" applyFont="1" applyFill="1" applyBorder="1" applyAlignment="1"/>
    <xf numFmtId="49" fontId="18" fillId="0" borderId="0" xfId="0" applyNumberFormat="1" applyFont="1" applyAlignment="1" applyProtection="1">
      <alignment vertical="center"/>
      <protection locked="0"/>
    </xf>
    <xf numFmtId="0" fontId="18" fillId="0" borderId="0" xfId="1" applyFont="1" applyAlignment="1" applyProtection="1">
      <alignment vertical="center"/>
      <protection locked="0"/>
    </xf>
    <xf numFmtId="166" fontId="18" fillId="0" borderId="0" xfId="1" applyNumberFormat="1" applyFont="1" applyAlignment="1" applyProtection="1">
      <alignment vertical="center"/>
      <protection locked="0"/>
    </xf>
    <xf numFmtId="166" fontId="18" fillId="0" borderId="0" xfId="0" applyNumberFormat="1" applyFont="1" applyAlignment="1" applyProtection="1">
      <alignment vertical="center"/>
      <protection locked="0"/>
    </xf>
    <xf numFmtId="1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6" fillId="13" borderId="0" xfId="0" applyFont="1" applyFill="1" applyBorder="1" applyAlignment="1"/>
    <xf numFmtId="49" fontId="3" fillId="0" borderId="0" xfId="0" applyNumberFormat="1" applyFont="1" applyFill="1" applyAlignment="1" applyProtection="1">
      <alignment horizontal="right" vertical="center"/>
      <protection locked="0"/>
    </xf>
    <xf numFmtId="49" fontId="0" fillId="0" borderId="0" xfId="0" applyNumberFormat="1" applyFill="1" applyAlignment="1" applyProtection="1">
      <alignment horizontal="right" vertical="center"/>
      <protection locked="0"/>
    </xf>
    <xf numFmtId="164" fontId="0" fillId="0" borderId="0" xfId="0" applyNumberFormat="1" applyFill="1" applyAlignment="1" applyProtection="1">
      <alignment horizontal="right" vertical="center"/>
      <protection locked="0"/>
    </xf>
    <xf numFmtId="2" fontId="0" fillId="0" borderId="0" xfId="0" applyNumberFormat="1" applyFill="1" applyAlignment="1" applyProtection="1">
      <alignment horizontal="right" vertical="center"/>
      <protection locked="0"/>
    </xf>
    <xf numFmtId="1" fontId="6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Alignment="1">
      <alignment horizontal="center"/>
    </xf>
    <xf numFmtId="11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11" fontId="7" fillId="0" borderId="0" xfId="0" applyNumberFormat="1" applyFont="1" applyFill="1" applyAlignment="1" applyProtection="1">
      <alignment horizontal="center"/>
      <protection locked="0"/>
    </xf>
    <xf numFmtId="11" fontId="3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/>
      <protection locked="0"/>
    </xf>
    <xf numFmtId="1" fontId="3" fillId="0" borderId="0" xfId="0" applyNumberFormat="1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2" fontId="3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 applyProtection="1">
      <protection locked="0"/>
    </xf>
    <xf numFmtId="11" fontId="8" fillId="0" borderId="0" xfId="2" applyNumberFormat="1" applyFill="1" applyAlignment="1" applyProtection="1">
      <alignment horizontal="center"/>
      <protection locked="0"/>
    </xf>
    <xf numFmtId="49" fontId="1" fillId="0" borderId="0" xfId="0" applyNumberFormat="1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right" vertical="center"/>
      <protection locked="0"/>
    </xf>
    <xf numFmtId="49" fontId="7" fillId="0" borderId="0" xfId="0" applyNumberFormat="1" applyFont="1" applyFill="1" applyAlignment="1" applyProtection="1">
      <alignment horizontal="right" vertical="center"/>
      <protection locked="0"/>
    </xf>
    <xf numFmtId="166" fontId="7" fillId="0" borderId="0" xfId="0" applyNumberFormat="1" applyFont="1" applyFill="1" applyAlignment="1" applyProtection="1">
      <alignment horizontal="right" vertical="center"/>
      <protection locked="0"/>
    </xf>
    <xf numFmtId="11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166" fontId="3" fillId="0" borderId="0" xfId="0" applyNumberFormat="1" applyFont="1" applyFill="1" applyAlignment="1" applyProtection="1">
      <alignment horizontal="right" vertical="center"/>
      <protection locked="0"/>
    </xf>
    <xf numFmtId="11" fontId="8" fillId="0" borderId="0" xfId="2" applyNumberForma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right" vertical="center"/>
      <protection locked="0"/>
    </xf>
    <xf numFmtId="11" fontId="1" fillId="0" borderId="0" xfId="0" applyNumberFormat="1" applyFont="1" applyFill="1" applyAlignment="1" applyProtection="1">
      <alignment horizontal="center" vertical="center"/>
      <protection locked="0"/>
    </xf>
    <xf numFmtId="1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2" fontId="3" fillId="0" borderId="0" xfId="0" applyNumberFormat="1" applyFont="1" applyFill="1" applyAlignment="1" applyProtection="1">
      <alignment horizontal="right" vertical="center"/>
      <protection locked="0"/>
    </xf>
    <xf numFmtId="1" fontId="3" fillId="0" borderId="0" xfId="0" applyNumberFormat="1" applyFont="1" applyFill="1" applyAlignment="1" applyProtection="1">
      <alignment horizontal="right"/>
      <protection locked="0"/>
    </xf>
    <xf numFmtId="4" fontId="0" fillId="0" borderId="0" xfId="0" applyNumberFormat="1"/>
    <xf numFmtId="11" fontId="0" fillId="0" borderId="0" xfId="0" applyNumberFormat="1"/>
    <xf numFmtId="0" fontId="18" fillId="0" borderId="0" xfId="1" applyFont="1" applyFill="1" applyAlignment="1" applyProtection="1">
      <alignment vertical="center"/>
      <protection locked="0"/>
    </xf>
    <xf numFmtId="49" fontId="18" fillId="0" borderId="0" xfId="0" applyNumberFormat="1" applyFont="1" applyFill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0" fontId="0" fillId="0" borderId="0" xfId="0" applyFill="1"/>
    <xf numFmtId="0" fontId="2" fillId="9" borderId="0" xfId="0" applyFont="1" applyFill="1" applyBorder="1" applyAlignment="1">
      <alignment horizontal="center"/>
    </xf>
    <xf numFmtId="0" fontId="16" fillId="1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9" fontId="18" fillId="0" borderId="0" xfId="1" applyNumberFormat="1" applyFont="1" applyAlignment="1" applyProtection="1">
      <alignment horizontal="center" vertical="center"/>
      <protection locked="0"/>
    </xf>
    <xf numFmtId="49" fontId="18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9" fontId="3" fillId="13" borderId="0" xfId="0" applyNumberFormat="1" applyFont="1" applyFill="1" applyAlignment="1" applyProtection="1">
      <alignment horizontal="right" vertical="center"/>
      <protection locked="0"/>
    </xf>
    <xf numFmtId="0" fontId="3" fillId="13" borderId="0" xfId="0" applyFont="1" applyFill="1" applyAlignment="1" applyProtection="1">
      <alignment horizontal="right" vertical="center"/>
      <protection locked="0"/>
    </xf>
    <xf numFmtId="1" fontId="6" fillId="13" borderId="0" xfId="0" applyNumberFormat="1" applyFont="1" applyFill="1" applyAlignment="1">
      <alignment horizontal="right" vertical="center"/>
    </xf>
    <xf numFmtId="11" fontId="3" fillId="13" borderId="0" xfId="0" applyNumberFormat="1" applyFont="1" applyFill="1" applyAlignment="1" applyProtection="1">
      <alignment horizontal="center"/>
      <protection locked="0"/>
    </xf>
    <xf numFmtId="2" fontId="3" fillId="13" borderId="0" xfId="0" applyNumberFormat="1" applyFont="1" applyFill="1" applyAlignment="1" applyProtection="1">
      <alignment horizontal="center"/>
      <protection locked="0"/>
    </xf>
    <xf numFmtId="2" fontId="3" fillId="13" borderId="0" xfId="0" applyNumberFormat="1" applyFont="1" applyFill="1" applyAlignment="1" applyProtection="1">
      <alignment horizontal="right" vertical="center"/>
      <protection locked="0"/>
    </xf>
    <xf numFmtId="2" fontId="3" fillId="13" borderId="0" xfId="0" applyNumberFormat="1" applyFont="1" applyFill="1" applyAlignment="1" applyProtection="1">
      <alignment horizontal="center" vertical="center"/>
      <protection locked="0"/>
    </xf>
    <xf numFmtId="1" fontId="3" fillId="13" borderId="0" xfId="0" applyNumberFormat="1" applyFont="1" applyFill="1" applyAlignment="1" applyProtection="1">
      <alignment horizontal="right"/>
      <protection locked="0"/>
    </xf>
    <xf numFmtId="1" fontId="0" fillId="13" borderId="0" xfId="0" applyNumberFormat="1" applyFill="1" applyAlignment="1" applyProtection="1">
      <alignment horizontal="center" vertical="center"/>
      <protection locked="0"/>
    </xf>
    <xf numFmtId="0" fontId="0" fillId="13" borderId="0" xfId="0" applyFill="1" applyAlignment="1" applyProtection="1">
      <alignment horizontal="center" vertical="center"/>
      <protection locked="0"/>
    </xf>
    <xf numFmtId="11" fontId="19" fillId="0" borderId="0" xfId="0" applyNumberFormat="1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5" fillId="12" borderId="0" xfId="0" applyFont="1" applyFill="1" applyBorder="1" applyAlignment="1"/>
    <xf numFmtId="0" fontId="2" fillId="9" borderId="0" xfId="0" applyFont="1" applyFill="1" applyBorder="1" applyAlignment="1"/>
    <xf numFmtId="0" fontId="2" fillId="10" borderId="0" xfId="0" applyFont="1" applyFill="1" applyBorder="1" applyAlignment="1"/>
    <xf numFmtId="0" fontId="2" fillId="11" borderId="0" xfId="0" applyFont="1" applyFill="1" applyBorder="1" applyAlignment="1"/>
  </cellXfs>
  <cellStyles count="5">
    <cellStyle name="Normal" xfId="0" builtinId="0"/>
    <cellStyle name="Normal 2" xfId="1" xr:uid="{6F505D2C-0B6B-45CE-A710-5D7FF081530E}"/>
    <cellStyle name="Porcentaje 2" xfId="3" xr:uid="{EBC6ECF6-0715-4E10-B54F-1015B0DD215D}"/>
    <cellStyle name="Porcentaje 3" xfId="4" xr:uid="{7D5A0C9C-45B5-4404-984D-CF86C766CBBD}"/>
    <cellStyle name="Обычный 2" xfId="2" xr:uid="{93AB5D81-37ED-4C10-982B-170B4C1DF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6D0B-9E01-4484-8758-0E93695A87D4}">
  <dimension ref="A1:AJ1104"/>
  <sheetViews>
    <sheetView tabSelected="1" workbookViewId="0">
      <pane xSplit="2" ySplit="2" topLeftCell="U152" activePane="bottomRight" state="frozen"/>
      <selection pane="topRight" activeCell="C1" sqref="C1"/>
      <selection pane="bottomLeft" activeCell="A3" sqref="A3"/>
      <selection pane="bottomRight" activeCell="AE164" sqref="AE164"/>
    </sheetView>
  </sheetViews>
  <sheetFormatPr baseColWidth="10" defaultColWidth="11.44140625" defaultRowHeight="14.4" x14ac:dyDescent="0.3"/>
  <cols>
    <col min="3" max="3" width="19.6640625" customWidth="1"/>
  </cols>
  <sheetData>
    <row r="1" spans="1:36" s="3" customFormat="1" ht="36.75" customHeigh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1"/>
      <c r="K1" s="49" t="s">
        <v>1</v>
      </c>
      <c r="L1" s="50"/>
      <c r="M1" s="50"/>
      <c r="N1" s="50"/>
      <c r="O1" s="50"/>
      <c r="P1" s="50"/>
      <c r="Q1" s="51" t="s">
        <v>2</v>
      </c>
      <c r="R1" s="52"/>
      <c r="S1" s="52"/>
      <c r="T1" s="52"/>
      <c r="U1" s="52"/>
      <c r="V1" s="52"/>
      <c r="W1" s="1"/>
      <c r="X1" s="53" t="s">
        <v>3</v>
      </c>
      <c r="Y1" s="53"/>
      <c r="Z1" s="54" t="s">
        <v>4</v>
      </c>
      <c r="AA1" s="54"/>
      <c r="AB1" s="54"/>
      <c r="AC1" s="53" t="s">
        <v>5</v>
      </c>
      <c r="AD1" s="53"/>
      <c r="AE1" s="53"/>
      <c r="AF1" s="53"/>
      <c r="AG1" s="2"/>
      <c r="AH1" s="2"/>
      <c r="AI1" s="47" t="s">
        <v>6</v>
      </c>
      <c r="AJ1" s="47"/>
    </row>
    <row r="2" spans="1:36" s="13" customFormat="1" ht="21" customHeight="1" x14ac:dyDescent="0.3">
      <c r="A2" s="4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  <c r="I2" s="5" t="s">
        <v>15</v>
      </c>
      <c r="J2" s="5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10" t="s">
        <v>30</v>
      </c>
      <c r="Y2" s="10" t="s">
        <v>31</v>
      </c>
      <c r="Z2" s="11" t="s">
        <v>32</v>
      </c>
      <c r="AA2" s="11" t="s">
        <v>33</v>
      </c>
      <c r="AB2" s="11" t="s">
        <v>34</v>
      </c>
      <c r="AC2" s="10" t="s">
        <v>35</v>
      </c>
      <c r="AD2" s="10" t="s">
        <v>36</v>
      </c>
      <c r="AE2" s="10" t="s">
        <v>37</v>
      </c>
      <c r="AF2" s="10" t="s">
        <v>38</v>
      </c>
      <c r="AG2" s="11" t="s">
        <v>39</v>
      </c>
      <c r="AH2" s="11" t="s">
        <v>40</v>
      </c>
      <c r="AI2" s="12" t="s">
        <v>41</v>
      </c>
      <c r="AJ2" s="12" t="s">
        <v>42</v>
      </c>
    </row>
    <row r="3" spans="1:36" s="21" customFormat="1" ht="17.25" customHeight="1" x14ac:dyDescent="0.3">
      <c r="A3" s="14"/>
      <c r="B3" s="14"/>
      <c r="C3" s="15"/>
      <c r="D3" s="16" t="s">
        <v>43</v>
      </c>
      <c r="E3" s="16" t="s">
        <v>43</v>
      </c>
      <c r="F3" s="16" t="s">
        <v>43</v>
      </c>
      <c r="G3" s="17" t="s">
        <v>44</v>
      </c>
      <c r="H3" s="18" t="s">
        <v>45</v>
      </c>
      <c r="I3" s="16" t="s">
        <v>43</v>
      </c>
      <c r="J3" s="16" t="s">
        <v>46</v>
      </c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 t="s">
        <v>47</v>
      </c>
      <c r="X3" s="21" t="s">
        <v>48</v>
      </c>
      <c r="Y3" s="21" t="s">
        <v>48</v>
      </c>
      <c r="Z3" s="21" t="s">
        <v>47</v>
      </c>
      <c r="AA3" s="21" t="s">
        <v>49</v>
      </c>
      <c r="AB3" s="21" t="s">
        <v>49</v>
      </c>
      <c r="AF3" s="21" t="s">
        <v>50</v>
      </c>
      <c r="AI3" s="21" t="s">
        <v>43</v>
      </c>
      <c r="AJ3" s="21" t="s">
        <v>43</v>
      </c>
    </row>
    <row r="4" spans="1:36" s="22" customFormat="1" x14ac:dyDescent="0.25">
      <c r="A4" s="14" t="s">
        <v>59</v>
      </c>
      <c r="B4" s="69" t="s">
        <v>51</v>
      </c>
      <c r="C4" s="69" t="s">
        <v>54</v>
      </c>
      <c r="D4" s="70">
        <v>172</v>
      </c>
      <c r="E4" s="70">
        <v>254</v>
      </c>
      <c r="F4" s="70">
        <v>343</v>
      </c>
      <c r="G4" s="71">
        <v>0.5</v>
      </c>
      <c r="H4" s="71">
        <v>13.7</v>
      </c>
      <c r="I4" s="71">
        <v>387</v>
      </c>
      <c r="J4" s="72">
        <v>60</v>
      </c>
      <c r="K4" s="73">
        <v>14.840854368415551</v>
      </c>
      <c r="L4" s="74">
        <v>2.3387827244943257E-2</v>
      </c>
      <c r="M4" s="74">
        <v>-3.6926328073595867E-4</v>
      </c>
      <c r="N4" s="74">
        <v>1.8861499453451812E-6</v>
      </c>
      <c r="O4" s="74">
        <v>-5.2027369312225543E-9</v>
      </c>
      <c r="P4" s="74">
        <v>4.6158542025014131E-12</v>
      </c>
      <c r="Q4" s="75">
        <v>3.9756984636722878E-2</v>
      </c>
      <c r="R4" s="75">
        <v>4.0182539168550563E-6</v>
      </c>
      <c r="S4" s="75">
        <v>8.3869368312936964E-8</v>
      </c>
      <c r="T4" s="75">
        <v>2.9933848804303214E-10</v>
      </c>
      <c r="U4" s="75">
        <v>-3.6016418701076636E-12</v>
      </c>
      <c r="V4" s="75">
        <v>6.0334845952997541E-15</v>
      </c>
      <c r="W4" s="75">
        <v>2.72</v>
      </c>
      <c r="X4" s="75">
        <v>6000</v>
      </c>
      <c r="Y4" s="75">
        <v>6000</v>
      </c>
      <c r="Z4" s="75">
        <v>0.5</v>
      </c>
      <c r="AA4" s="75">
        <v>87</v>
      </c>
      <c r="AB4" s="75">
        <v>100</v>
      </c>
      <c r="AC4" s="75">
        <v>45</v>
      </c>
      <c r="AD4" s="75">
        <v>129</v>
      </c>
      <c r="AE4" s="75"/>
      <c r="AF4" s="75">
        <v>6.3</v>
      </c>
      <c r="AG4" s="75"/>
      <c r="AH4" s="75"/>
      <c r="AI4" s="76"/>
      <c r="AJ4" s="76"/>
    </row>
    <row r="5" spans="1:36" s="25" customFormat="1" x14ac:dyDescent="0.25">
      <c r="A5" s="14" t="s">
        <v>59</v>
      </c>
      <c r="B5" s="69" t="s">
        <v>51</v>
      </c>
      <c r="C5" s="69" t="s">
        <v>52</v>
      </c>
      <c r="D5" s="70">
        <v>265</v>
      </c>
      <c r="E5" s="70">
        <v>373</v>
      </c>
      <c r="F5" s="70">
        <v>491</v>
      </c>
      <c r="G5" s="71">
        <v>0.54</v>
      </c>
      <c r="H5" s="71">
        <v>13.6</v>
      </c>
      <c r="I5" s="71">
        <v>634</v>
      </c>
      <c r="J5" s="72">
        <v>60</v>
      </c>
      <c r="K5" s="77">
        <v>13.532710134474176</v>
      </c>
      <c r="L5" s="78">
        <v>3.0689230730338588E-3</v>
      </c>
      <c r="M5" s="78">
        <v>-1.6242325009658514E-5</v>
      </c>
      <c r="N5" s="78">
        <v>2.4900522308332407E-7</v>
      </c>
      <c r="O5" s="78">
        <v>-1.0205084297329318E-9</v>
      </c>
      <c r="P5" s="78">
        <v>9.0467990241016043E-13</v>
      </c>
      <c r="Q5" s="78">
        <v>3.4953962055422942E-2</v>
      </c>
      <c r="R5" s="78">
        <v>2.3296064383548245E-5</v>
      </c>
      <c r="S5" s="78">
        <v>5.4812441769035901E-7</v>
      </c>
      <c r="T5" s="78">
        <v>-1.6370884017599784E-9</v>
      </c>
      <c r="U5" s="78">
        <v>1.3487599246971933E-12</v>
      </c>
      <c r="V5" s="78">
        <v>2.7988421445441824E-17</v>
      </c>
      <c r="W5" s="79">
        <v>2.72</v>
      </c>
      <c r="X5" s="79">
        <v>5547</v>
      </c>
      <c r="Y5" s="79">
        <v>5547</v>
      </c>
      <c r="Z5" s="79">
        <v>0.5</v>
      </c>
      <c r="AA5" s="80">
        <v>87</v>
      </c>
      <c r="AB5" s="80">
        <v>100</v>
      </c>
      <c r="AC5" s="81">
        <v>35</v>
      </c>
      <c r="AD5" s="81">
        <v>99</v>
      </c>
      <c r="AE5" s="81"/>
      <c r="AF5" s="80">
        <v>7.9</v>
      </c>
      <c r="AG5" s="82"/>
      <c r="AH5" s="83"/>
      <c r="AI5" s="84"/>
      <c r="AJ5" s="84"/>
    </row>
    <row r="6" spans="1:36" s="28" customFormat="1" x14ac:dyDescent="0.25">
      <c r="A6" s="14" t="s">
        <v>59</v>
      </c>
      <c r="B6" s="69" t="s">
        <v>51</v>
      </c>
      <c r="C6" s="69" t="s">
        <v>53</v>
      </c>
      <c r="D6" s="70">
        <v>114</v>
      </c>
      <c r="E6" s="70">
        <v>149</v>
      </c>
      <c r="F6" s="70">
        <v>189</v>
      </c>
      <c r="G6" s="71">
        <v>0.44</v>
      </c>
      <c r="H6" s="71">
        <v>12.9</v>
      </c>
      <c r="I6" s="71">
        <v>256</v>
      </c>
      <c r="J6" s="72">
        <v>60</v>
      </c>
      <c r="K6" s="77">
        <v>15.252382760980479</v>
      </c>
      <c r="L6" s="78">
        <v>-4.1693429682448657E-2</v>
      </c>
      <c r="M6" s="78">
        <v>5.5579241048219798E-4</v>
      </c>
      <c r="N6" s="78">
        <v>-4.2816707889441736E-6</v>
      </c>
      <c r="O6" s="78">
        <v>1.0553118416734582E-8</v>
      </c>
      <c r="P6" s="78">
        <v>-1.3102277736624359E-11</v>
      </c>
      <c r="Q6" s="78">
        <v>2.2576745997313633E-2</v>
      </c>
      <c r="R6" s="78">
        <v>-5.9521969003154851E-5</v>
      </c>
      <c r="S6" s="78">
        <v>1.7361167865463683E-6</v>
      </c>
      <c r="T6" s="78">
        <v>-9.645173582651103E-9</v>
      </c>
      <c r="U6" s="78">
        <v>1.7263677465263523E-11</v>
      </c>
      <c r="V6" s="78">
        <v>-1.4475770594070385E-17</v>
      </c>
      <c r="W6" s="79">
        <v>2.72</v>
      </c>
      <c r="X6" s="79">
        <v>5547</v>
      </c>
      <c r="Y6" s="79">
        <v>5547</v>
      </c>
      <c r="Z6" s="80">
        <v>0.5</v>
      </c>
      <c r="AA6" s="80">
        <v>87</v>
      </c>
      <c r="AB6" s="80">
        <v>100</v>
      </c>
      <c r="AC6" s="81">
        <v>43</v>
      </c>
      <c r="AD6" s="81">
        <v>125</v>
      </c>
      <c r="AE6" s="81"/>
      <c r="AF6" s="80">
        <v>2.5</v>
      </c>
      <c r="AG6" s="85"/>
      <c r="AH6" s="81"/>
      <c r="AI6" s="86"/>
      <c r="AJ6" s="86"/>
    </row>
    <row r="7" spans="1:36" s="28" customFormat="1" ht="13.5" customHeight="1" x14ac:dyDescent="0.25">
      <c r="A7" s="14" t="s">
        <v>59</v>
      </c>
      <c r="B7" s="69" t="s">
        <v>51</v>
      </c>
      <c r="C7" s="69" t="s">
        <v>215</v>
      </c>
      <c r="D7" s="70">
        <v>605</v>
      </c>
      <c r="E7" s="70">
        <v>745</v>
      </c>
      <c r="F7" s="70">
        <v>907</v>
      </c>
      <c r="G7" s="71">
        <v>0.56999999999999995</v>
      </c>
      <c r="H7" s="71">
        <v>10.1</v>
      </c>
      <c r="I7" s="71">
        <v>1302</v>
      </c>
      <c r="J7" s="72">
        <v>60</v>
      </c>
      <c r="K7" s="77">
        <v>14.599775112843599</v>
      </c>
      <c r="L7" s="78">
        <v>-4.9959851399297992E-3</v>
      </c>
      <c r="M7" s="78">
        <v>-8.2350899269662082E-6</v>
      </c>
      <c r="N7" s="78">
        <v>1.3926223388431312E-8</v>
      </c>
      <c r="O7" s="78">
        <v>-1.4115214824154915E-11</v>
      </c>
      <c r="P7" s="78">
        <v>4.3213162720777394E-15</v>
      </c>
      <c r="Q7" s="78">
        <v>9.4483085818640677E-2</v>
      </c>
      <c r="R7" s="78">
        <v>-1.3951392639804065E-4</v>
      </c>
      <c r="S7" s="78">
        <v>4.1499180443336415E-7</v>
      </c>
      <c r="T7" s="78">
        <v>-4.3213179385604687E-10</v>
      </c>
      <c r="U7" s="78">
        <v>1.4044983310848395E-13</v>
      </c>
      <c r="V7" s="78">
        <v>1.5500098552340703E-18</v>
      </c>
      <c r="W7" s="80">
        <v>2.72</v>
      </c>
      <c r="X7" s="80">
        <v>5547</v>
      </c>
      <c r="Y7" s="80">
        <v>5547</v>
      </c>
      <c r="Z7" s="80">
        <v>0.5</v>
      </c>
      <c r="AA7" s="80">
        <v>87</v>
      </c>
      <c r="AB7" s="80">
        <v>100</v>
      </c>
      <c r="AC7" s="81">
        <v>28</v>
      </c>
      <c r="AD7" s="81">
        <v>71</v>
      </c>
      <c r="AE7" s="81"/>
      <c r="AF7" s="80">
        <v>7.2</v>
      </c>
      <c r="AG7" s="85"/>
      <c r="AH7" s="81"/>
      <c r="AI7" s="86"/>
      <c r="AJ7" s="86"/>
    </row>
    <row r="8" spans="1:36" s="28" customFormat="1" x14ac:dyDescent="0.25">
      <c r="A8" s="14" t="s">
        <v>59</v>
      </c>
      <c r="B8" s="69" t="s">
        <v>55</v>
      </c>
      <c r="C8" s="69" t="s">
        <v>56</v>
      </c>
      <c r="D8" s="70">
        <v>148</v>
      </c>
      <c r="E8" s="70">
        <v>203</v>
      </c>
      <c r="F8" s="70">
        <v>263</v>
      </c>
      <c r="G8" s="71">
        <v>0.4</v>
      </c>
      <c r="H8" s="71">
        <v>18.899999999999999</v>
      </c>
      <c r="I8" s="71">
        <v>369</v>
      </c>
      <c r="J8" s="72">
        <v>60</v>
      </c>
      <c r="K8" s="77">
        <v>24.336283337397006</v>
      </c>
      <c r="L8" s="78">
        <v>3.6579175303448203E-2</v>
      </c>
      <c r="M8" s="78">
        <v>-1.3073382832262577E-3</v>
      </c>
      <c r="N8" s="78">
        <v>8.8857637051004298E-6</v>
      </c>
      <c r="O8" s="78">
        <v>-2.7244668002740436E-8</v>
      </c>
      <c r="P8" s="78">
        <v>2.9066064885276582E-11</v>
      </c>
      <c r="Q8" s="78">
        <v>7.2851999592073086E-2</v>
      </c>
      <c r="R8" s="78">
        <v>6.4233395976979159E-5</v>
      </c>
      <c r="S8" s="78">
        <v>-2.6309016413690086E-6</v>
      </c>
      <c r="T8" s="78">
        <v>1.39874759061011E-8</v>
      </c>
      <c r="U8" s="78">
        <v>-2.0911096060986748E-11</v>
      </c>
      <c r="V8" s="78">
        <v>1.497348995818766E-15</v>
      </c>
      <c r="W8" s="80">
        <v>3.19</v>
      </c>
      <c r="X8" s="80">
        <v>5547</v>
      </c>
      <c r="Y8" s="80">
        <v>5547</v>
      </c>
      <c r="Z8" s="80">
        <v>0.55000000000000004</v>
      </c>
      <c r="AA8" s="80">
        <v>105</v>
      </c>
      <c r="AB8" s="80">
        <v>121</v>
      </c>
      <c r="AC8" s="81">
        <v>60</v>
      </c>
      <c r="AD8" s="81">
        <v>125</v>
      </c>
      <c r="AE8" s="81"/>
      <c r="AF8" s="80">
        <v>6.2</v>
      </c>
      <c r="AG8" s="85"/>
      <c r="AH8" s="81"/>
      <c r="AI8" s="86"/>
      <c r="AJ8" s="86"/>
    </row>
    <row r="9" spans="1:36" s="28" customFormat="1" x14ac:dyDescent="0.25">
      <c r="A9" s="14" t="s">
        <v>59</v>
      </c>
      <c r="B9" s="69" t="s">
        <v>55</v>
      </c>
      <c r="C9" s="69" t="s">
        <v>57</v>
      </c>
      <c r="D9" s="70">
        <v>232</v>
      </c>
      <c r="E9" s="70">
        <v>305</v>
      </c>
      <c r="F9" s="70">
        <v>416</v>
      </c>
      <c r="G9" s="71">
        <v>0.49</v>
      </c>
      <c r="H9" s="71">
        <v>20.7</v>
      </c>
      <c r="I9" s="71">
        <v>578</v>
      </c>
      <c r="J9" s="72">
        <v>60</v>
      </c>
      <c r="K9" s="77">
        <v>22.614514360691832</v>
      </c>
      <c r="L9" s="78">
        <v>-2.0018580926256945E-3</v>
      </c>
      <c r="M9" s="78">
        <v>-5.2746706203706786E-5</v>
      </c>
      <c r="N9" s="78">
        <v>4.063829384199335E-7</v>
      </c>
      <c r="O9" s="78">
        <v>-1.6207533404169178E-9</v>
      </c>
      <c r="P9" s="78">
        <v>1.5289999956126214E-12</v>
      </c>
      <c r="Q9" s="78">
        <v>8.5622531383373293E-2</v>
      </c>
      <c r="R9" s="78">
        <v>-8.4826491222859797E-5</v>
      </c>
      <c r="S9" s="78">
        <v>3.229022186270198E-7</v>
      </c>
      <c r="T9" s="78">
        <v>-2.4843073703329412E-10</v>
      </c>
      <c r="U9" s="78">
        <v>4.1069746048946417E-13</v>
      </c>
      <c r="V9" s="78">
        <v>-2.7149600802141665E-16</v>
      </c>
      <c r="W9" s="80">
        <v>3.19</v>
      </c>
      <c r="X9" s="80">
        <v>5547</v>
      </c>
      <c r="Y9" s="80">
        <v>5547</v>
      </c>
      <c r="Z9" s="80">
        <v>0.55000000000000004</v>
      </c>
      <c r="AA9" s="80">
        <v>105</v>
      </c>
      <c r="AB9" s="80">
        <v>121</v>
      </c>
      <c r="AC9" s="81">
        <v>39</v>
      </c>
      <c r="AD9" s="81">
        <v>205</v>
      </c>
      <c r="AE9" s="81"/>
      <c r="AF9" s="80">
        <v>4.0999999999999996</v>
      </c>
      <c r="AG9" s="85"/>
      <c r="AH9" s="81"/>
      <c r="AI9" s="86"/>
      <c r="AJ9" s="86"/>
    </row>
    <row r="10" spans="1:36" s="28" customFormat="1" x14ac:dyDescent="0.25">
      <c r="A10" s="14" t="s">
        <v>59</v>
      </c>
      <c r="B10" s="69" t="s">
        <v>55</v>
      </c>
      <c r="C10" s="69" t="s">
        <v>58</v>
      </c>
      <c r="D10" s="70">
        <v>503</v>
      </c>
      <c r="E10" s="70">
        <v>663</v>
      </c>
      <c r="F10" s="70">
        <v>840</v>
      </c>
      <c r="G10" s="71">
        <v>0.57999999999999996</v>
      </c>
      <c r="H10" s="71">
        <v>16.5</v>
      </c>
      <c r="I10" s="71">
        <v>1049</v>
      </c>
      <c r="J10" s="72">
        <v>60</v>
      </c>
      <c r="K10" s="77">
        <v>18.717624024051698</v>
      </c>
      <c r="L10" s="78">
        <v>8.1513849166838445E-3</v>
      </c>
      <c r="M10" s="78">
        <v>-5.2526726102611256E-5</v>
      </c>
      <c r="N10" s="78">
        <v>1.3192033584131101E-7</v>
      </c>
      <c r="O10" s="78">
        <v>-1.6934901421843552E-10</v>
      </c>
      <c r="P10" s="78">
        <v>6.7472704476570053E-14</v>
      </c>
      <c r="Q10" s="78">
        <v>8.2576631633598435E-2</v>
      </c>
      <c r="R10" s="78">
        <v>-3.5358007425390776E-6</v>
      </c>
      <c r="S10" s="78">
        <v>5.8231578816884872E-7</v>
      </c>
      <c r="T10" s="78">
        <v>-1.0688873857898821E-9</v>
      </c>
      <c r="U10" s="78">
        <v>5.3138817517923261E-13</v>
      </c>
      <c r="V10" s="78">
        <v>1.6987050754120664E-18</v>
      </c>
      <c r="W10" s="80">
        <v>3.19</v>
      </c>
      <c r="X10" s="80">
        <v>6000</v>
      </c>
      <c r="Y10" s="80">
        <v>6000</v>
      </c>
      <c r="Z10" s="80">
        <v>0.55000000000000004</v>
      </c>
      <c r="AA10" s="80">
        <v>105</v>
      </c>
      <c r="AB10" s="80">
        <v>121</v>
      </c>
      <c r="AC10" s="81">
        <v>73</v>
      </c>
      <c r="AD10" s="81">
        <v>151</v>
      </c>
      <c r="AE10" s="81"/>
      <c r="AF10" s="80">
        <v>7.8</v>
      </c>
      <c r="AG10" s="85"/>
      <c r="AH10" s="81"/>
      <c r="AI10" s="86"/>
      <c r="AJ10" s="86"/>
    </row>
    <row r="11" spans="1:36" s="28" customFormat="1" x14ac:dyDescent="0.25">
      <c r="A11" s="14" t="s">
        <v>59</v>
      </c>
      <c r="B11" s="69" t="s">
        <v>55</v>
      </c>
      <c r="C11" s="69" t="s">
        <v>60</v>
      </c>
      <c r="D11" s="70">
        <v>505</v>
      </c>
      <c r="E11" s="70">
        <v>663</v>
      </c>
      <c r="F11" s="70">
        <v>839</v>
      </c>
      <c r="G11" s="71">
        <v>0.57999999999999996</v>
      </c>
      <c r="H11" s="71">
        <v>16.5</v>
      </c>
      <c r="I11" s="71">
        <v>1049</v>
      </c>
      <c r="J11" s="72">
        <v>60</v>
      </c>
      <c r="K11" s="77">
        <v>18.548263067078398</v>
      </c>
      <c r="L11" s="78">
        <v>6.9821817764375823E-4</v>
      </c>
      <c r="M11" s="78">
        <v>-1.1438654677241282E-5</v>
      </c>
      <c r="N11" s="78">
        <v>2.8793648186567728E-8</v>
      </c>
      <c r="O11" s="78">
        <v>-6.3111840846165963E-11</v>
      </c>
      <c r="P11" s="78">
        <v>2.8785474381433455E-14</v>
      </c>
      <c r="Q11" s="78">
        <v>7.5597562636219362E-2</v>
      </c>
      <c r="R11" s="78">
        <v>2.4154883400350446E-5</v>
      </c>
      <c r="S11" s="78">
        <v>2.5197066042740876E-7</v>
      </c>
      <c r="T11" s="78">
        <v>-3.5870252044767529E-10</v>
      </c>
      <c r="U11" s="78">
        <v>8.8150300553524264E-14</v>
      </c>
      <c r="V11" s="78">
        <v>2.7675871789449823E-17</v>
      </c>
      <c r="W11" s="80">
        <v>3.19</v>
      </c>
      <c r="X11" s="80">
        <v>6000</v>
      </c>
      <c r="Y11" s="80">
        <v>6000</v>
      </c>
      <c r="Z11" s="80">
        <v>0.55000000000000004</v>
      </c>
      <c r="AA11" s="80">
        <v>105</v>
      </c>
      <c r="AB11" s="80">
        <v>121</v>
      </c>
      <c r="AC11" s="81">
        <v>30</v>
      </c>
      <c r="AD11" s="81">
        <v>79</v>
      </c>
      <c r="AE11" s="81"/>
      <c r="AF11" s="80">
        <v>7.8</v>
      </c>
      <c r="AG11" s="85"/>
      <c r="AH11" s="81"/>
      <c r="AI11" s="86"/>
      <c r="AJ11" s="86"/>
    </row>
    <row r="12" spans="1:36" s="28" customFormat="1" x14ac:dyDescent="0.25">
      <c r="A12" s="14" t="s">
        <v>59</v>
      </c>
      <c r="B12" s="69" t="s">
        <v>55</v>
      </c>
      <c r="C12" s="69" t="s">
        <v>61</v>
      </c>
      <c r="D12" s="70">
        <v>606</v>
      </c>
      <c r="E12" s="70">
        <v>1043</v>
      </c>
      <c r="F12" s="70">
        <v>1359</v>
      </c>
      <c r="G12" s="71">
        <v>0.62</v>
      </c>
      <c r="H12" s="71">
        <v>20.100000000000001</v>
      </c>
      <c r="I12" s="71">
        <v>1691</v>
      </c>
      <c r="J12" s="72">
        <v>60</v>
      </c>
      <c r="K12" s="77">
        <v>19.337929105330517</v>
      </c>
      <c r="L12" s="78">
        <v>2.7955168483698007E-3</v>
      </c>
      <c r="M12" s="78">
        <v>-4.3171730038914949E-6</v>
      </c>
      <c r="N12" s="78">
        <v>1.4384171123402647E-8</v>
      </c>
      <c r="O12" s="78">
        <v>-2.280480013014281E-11</v>
      </c>
      <c r="P12" s="78">
        <v>7.6805462585160702E-15</v>
      </c>
      <c r="Q12" s="78">
        <v>0.11068096959790574</v>
      </c>
      <c r="R12" s="78">
        <v>1.8861756932295493E-5</v>
      </c>
      <c r="S12" s="78">
        <v>3.9288587729301484E-7</v>
      </c>
      <c r="T12" s="78">
        <v>-4.6666817953705778E-10</v>
      </c>
      <c r="U12" s="78">
        <v>1.4568181761880202E-13</v>
      </c>
      <c r="V12" s="78">
        <v>1.9522229262508881E-19</v>
      </c>
      <c r="W12" s="80">
        <v>3.19</v>
      </c>
      <c r="X12" s="80">
        <v>6000</v>
      </c>
      <c r="Y12" s="80">
        <v>6000</v>
      </c>
      <c r="Z12" s="80">
        <v>0.67</v>
      </c>
      <c r="AA12" s="80">
        <v>193</v>
      </c>
      <c r="AB12" s="80">
        <v>217</v>
      </c>
      <c r="AC12" s="81">
        <v>33</v>
      </c>
      <c r="AD12" s="81">
        <v>83</v>
      </c>
      <c r="AE12" s="81"/>
      <c r="AF12" s="80">
        <v>14.3</v>
      </c>
      <c r="AG12" s="85"/>
      <c r="AH12" s="81"/>
      <c r="AI12" s="86"/>
      <c r="AJ12" s="86"/>
    </row>
    <row r="13" spans="1:36" s="28" customFormat="1" x14ac:dyDescent="0.25">
      <c r="A13" s="14" t="s">
        <v>59</v>
      </c>
      <c r="B13" s="69" t="s">
        <v>55</v>
      </c>
      <c r="C13" s="69" t="s">
        <v>62</v>
      </c>
      <c r="D13" s="70">
        <v>1135</v>
      </c>
      <c r="E13" s="70">
        <v>1491</v>
      </c>
      <c r="F13" s="70">
        <v>1889</v>
      </c>
      <c r="G13" s="71">
        <v>0.67</v>
      </c>
      <c r="H13" s="71">
        <v>14</v>
      </c>
      <c r="I13" s="71">
        <v>2444</v>
      </c>
      <c r="J13" s="72">
        <v>60</v>
      </c>
      <c r="K13" s="77">
        <v>19.3167784282601</v>
      </c>
      <c r="L13" s="78">
        <v>-8.7203450220348661E-3</v>
      </c>
      <c r="M13" s="78">
        <v>8.3698824036514589E-6</v>
      </c>
      <c r="N13" s="78">
        <v>-6.9329643387664159E-9</v>
      </c>
      <c r="O13" s="78">
        <v>2.9478607230910218E-12</v>
      </c>
      <c r="P13" s="78">
        <v>-5.8004412663304601E-16</v>
      </c>
      <c r="Q13" s="78">
        <v>0.19125772665266869</v>
      </c>
      <c r="R13" s="78">
        <v>-1.0634840770443637E-4</v>
      </c>
      <c r="S13" s="78">
        <v>1.7273984657757816E-7</v>
      </c>
      <c r="T13" s="78">
        <v>-8.1137275989071608E-11</v>
      </c>
      <c r="U13" s="78">
        <v>1.1780192692081207E-14</v>
      </c>
      <c r="V13" s="78">
        <v>-2.845430983104259E-19</v>
      </c>
      <c r="W13" s="80">
        <v>3.19</v>
      </c>
      <c r="X13" s="80">
        <v>5547</v>
      </c>
      <c r="Y13" s="80">
        <v>5547</v>
      </c>
      <c r="Z13" s="80">
        <v>0.67</v>
      </c>
      <c r="AA13" s="80">
        <v>193</v>
      </c>
      <c r="AB13" s="80">
        <v>217</v>
      </c>
      <c r="AC13" s="81">
        <v>28</v>
      </c>
      <c r="AD13" s="81">
        <v>52</v>
      </c>
      <c r="AE13" s="81"/>
      <c r="AF13" s="80">
        <v>12.6</v>
      </c>
      <c r="AG13" s="85"/>
      <c r="AH13" s="81"/>
      <c r="AI13" s="86"/>
      <c r="AJ13" s="86"/>
    </row>
    <row r="14" spans="1:36" s="28" customFormat="1" x14ac:dyDescent="0.25">
      <c r="A14" s="14" t="s">
        <v>59</v>
      </c>
      <c r="B14" s="69" t="s">
        <v>55</v>
      </c>
      <c r="C14" s="69" t="s">
        <v>63</v>
      </c>
      <c r="D14" s="70">
        <v>1717</v>
      </c>
      <c r="E14" s="70">
        <v>2252</v>
      </c>
      <c r="F14" s="70">
        <v>2845</v>
      </c>
      <c r="G14" s="71">
        <v>0.7</v>
      </c>
      <c r="H14" s="71">
        <v>13.8</v>
      </c>
      <c r="I14" s="71">
        <v>3725</v>
      </c>
      <c r="J14" s="72">
        <v>60</v>
      </c>
      <c r="K14" s="77">
        <v>16.106369524551148</v>
      </c>
      <c r="L14" s="78">
        <v>-2.3174663779565691E-3</v>
      </c>
      <c r="M14" s="78">
        <v>-1.8088669741649836E-6</v>
      </c>
      <c r="N14" s="78">
        <v>3.1854680637025127E-9</v>
      </c>
      <c r="O14" s="78">
        <v>-1.2940827759939565E-12</v>
      </c>
      <c r="P14" s="78">
        <v>1.4378763699579477E-16</v>
      </c>
      <c r="Q14" s="78">
        <v>0.15203597593930768</v>
      </c>
      <c r="R14" s="78">
        <v>-8.44677433639435E-6</v>
      </c>
      <c r="S14" s="78">
        <v>7.078911369281285E-8</v>
      </c>
      <c r="T14" s="78">
        <v>-1.6064892417953979E-11</v>
      </c>
      <c r="U14" s="78">
        <v>-5.787913038675491E-17</v>
      </c>
      <c r="V14" s="78">
        <v>2.7226719133369902E-20</v>
      </c>
      <c r="W14" s="80">
        <v>3.19</v>
      </c>
      <c r="X14" s="80">
        <v>5547</v>
      </c>
      <c r="Y14" s="80">
        <v>5547</v>
      </c>
      <c r="Z14" s="80">
        <v>0.67</v>
      </c>
      <c r="AA14" s="80">
        <v>193</v>
      </c>
      <c r="AB14" s="80">
        <v>217</v>
      </c>
      <c r="AC14" s="81">
        <v>28</v>
      </c>
      <c r="AD14" s="81">
        <v>52</v>
      </c>
      <c r="AE14" s="81"/>
      <c r="AF14" s="80">
        <v>12.6</v>
      </c>
      <c r="AG14" s="85"/>
      <c r="AH14" s="81"/>
      <c r="AI14" s="86"/>
      <c r="AJ14" s="86"/>
    </row>
    <row r="15" spans="1:36" s="28" customFormat="1" x14ac:dyDescent="0.25">
      <c r="A15" s="14" t="s">
        <v>59</v>
      </c>
      <c r="B15" s="69" t="s">
        <v>64</v>
      </c>
      <c r="C15" s="69" t="s">
        <v>65</v>
      </c>
      <c r="D15" s="70">
        <v>113</v>
      </c>
      <c r="E15" s="70">
        <v>149</v>
      </c>
      <c r="F15" s="70">
        <v>189</v>
      </c>
      <c r="G15" s="71">
        <v>0.46</v>
      </c>
      <c r="H15" s="71">
        <v>19.3</v>
      </c>
      <c r="I15" s="71">
        <v>298</v>
      </c>
      <c r="J15" s="72">
        <v>60</v>
      </c>
      <c r="K15" s="77">
        <v>19.600269185367164</v>
      </c>
      <c r="L15" s="78">
        <v>1.130621256548464E-2</v>
      </c>
      <c r="M15" s="78">
        <v>2.3570801917869517E-4</v>
      </c>
      <c r="N15" s="78">
        <v>-4.5922853344422931E-6</v>
      </c>
      <c r="O15" s="78">
        <v>1.4439699769763719E-8</v>
      </c>
      <c r="P15" s="78">
        <v>-1.5305583233057197E-11</v>
      </c>
      <c r="Q15" s="78">
        <v>3.2257821362612141E-2</v>
      </c>
      <c r="R15" s="78">
        <v>-1.5897719579885522E-4</v>
      </c>
      <c r="S15" s="78">
        <v>5.1706992321573813E-6</v>
      </c>
      <c r="T15" s="78">
        <v>-4.0356863408668126E-8</v>
      </c>
      <c r="U15" s="78">
        <v>1.2971462092785807E-10</v>
      </c>
      <c r="V15" s="78">
        <v>-1.5031360113585015E-13</v>
      </c>
      <c r="W15" s="80">
        <v>3.62</v>
      </c>
      <c r="X15" s="80">
        <v>5547</v>
      </c>
      <c r="Y15" s="80">
        <v>5547</v>
      </c>
      <c r="Z15" s="80">
        <v>0.5</v>
      </c>
      <c r="AA15" s="80">
        <v>87</v>
      </c>
      <c r="AB15" s="80">
        <v>113</v>
      </c>
      <c r="AC15" s="81">
        <v>71</v>
      </c>
      <c r="AD15" s="81">
        <v>127</v>
      </c>
      <c r="AE15" s="81"/>
      <c r="AF15" s="80">
        <v>3.5</v>
      </c>
      <c r="AG15" s="85"/>
      <c r="AH15" s="81"/>
      <c r="AI15" s="86"/>
      <c r="AJ15" s="86"/>
    </row>
    <row r="16" spans="1:36" s="28" customFormat="1" x14ac:dyDescent="0.25">
      <c r="A16" s="14" t="s">
        <v>59</v>
      </c>
      <c r="B16" s="69" t="s">
        <v>64</v>
      </c>
      <c r="C16" s="69" t="s">
        <v>67</v>
      </c>
      <c r="D16" s="70">
        <v>606</v>
      </c>
      <c r="E16" s="70">
        <v>1044</v>
      </c>
      <c r="F16" s="70">
        <v>1359</v>
      </c>
      <c r="G16" s="71">
        <v>0.7</v>
      </c>
      <c r="H16" s="71">
        <v>24.9</v>
      </c>
      <c r="I16" s="71">
        <v>1656</v>
      </c>
      <c r="J16" s="72">
        <v>60</v>
      </c>
      <c r="K16" s="78">
        <v>21.640988941870319</v>
      </c>
      <c r="L16" s="78">
        <v>5.807973288127323E-2</v>
      </c>
      <c r="M16" s="78">
        <v>-1.8230467744522258E-4</v>
      </c>
      <c r="N16" s="78">
        <v>2.5271536401078074E-7</v>
      </c>
      <c r="O16" s="78">
        <v>-1.6591854021580361E-10</v>
      </c>
      <c r="P16" s="78">
        <v>3.8744471913195693E-14</v>
      </c>
      <c r="Q16" s="78">
        <v>0.12693667582610429</v>
      </c>
      <c r="R16" s="78">
        <v>3.4578456618596185E-5</v>
      </c>
      <c r="S16" s="78">
        <v>3.7843027989363044E-7</v>
      </c>
      <c r="T16" s="78">
        <v>-4.2354798836485531E-10</v>
      </c>
      <c r="U16" s="78">
        <v>1.242601481558471E-13</v>
      </c>
      <c r="V16" s="78">
        <v>3.9237876215745632E-19</v>
      </c>
      <c r="W16" s="80">
        <v>3.62</v>
      </c>
      <c r="X16" s="80">
        <v>6000</v>
      </c>
      <c r="Y16" s="80">
        <v>6000</v>
      </c>
      <c r="Z16" s="80">
        <v>0.55000000000000004</v>
      </c>
      <c r="AA16" s="80">
        <v>105</v>
      </c>
      <c r="AB16" s="80">
        <v>121</v>
      </c>
      <c r="AC16" s="81">
        <v>44</v>
      </c>
      <c r="AD16" s="81">
        <v>81</v>
      </c>
      <c r="AE16" s="81"/>
      <c r="AF16" s="80">
        <v>15.5</v>
      </c>
      <c r="AG16" s="85"/>
      <c r="AH16" s="81"/>
      <c r="AI16" s="86"/>
      <c r="AJ16" s="86"/>
    </row>
    <row r="17" spans="1:36" s="28" customFormat="1" x14ac:dyDescent="0.25">
      <c r="A17" s="14" t="s">
        <v>59</v>
      </c>
      <c r="B17" s="69" t="s">
        <v>64</v>
      </c>
      <c r="C17" s="69" t="s">
        <v>216</v>
      </c>
      <c r="D17" s="70">
        <v>830</v>
      </c>
      <c r="E17" s="70">
        <v>1207</v>
      </c>
      <c r="F17" s="70">
        <v>1509</v>
      </c>
      <c r="G17" s="71">
        <v>0.63</v>
      </c>
      <c r="H17" s="71">
        <v>25</v>
      </c>
      <c r="I17" s="71">
        <v>1887</v>
      </c>
      <c r="J17" s="72">
        <v>60</v>
      </c>
      <c r="K17" s="78">
        <v>24.992875317719271</v>
      </c>
      <c r="L17" s="78">
        <v>3.2691801240479356E-3</v>
      </c>
      <c r="M17" s="78">
        <v>-1.2363185604643129E-5</v>
      </c>
      <c r="N17" s="78">
        <v>2.4085937792672548E-8</v>
      </c>
      <c r="O17" s="78">
        <v>-2.1464682862864406E-11</v>
      </c>
      <c r="P17" s="78">
        <v>5.1654451241579033E-15</v>
      </c>
      <c r="Q17" s="78">
        <v>0.14959048749650039</v>
      </c>
      <c r="R17" s="78">
        <v>1.5920146288820025E-4</v>
      </c>
      <c r="S17" s="78">
        <v>-2.5564460913847641E-7</v>
      </c>
      <c r="T17" s="78">
        <v>7.4235406724915882E-10</v>
      </c>
      <c r="U17" s="78">
        <v>-7.0465200091172517E-13</v>
      </c>
      <c r="V17" s="78">
        <v>2.0150740082307215E-16</v>
      </c>
      <c r="W17" s="80">
        <v>3.62</v>
      </c>
      <c r="X17" s="80">
        <v>5547</v>
      </c>
      <c r="Y17" s="80">
        <v>5547</v>
      </c>
      <c r="Z17" s="80">
        <v>0.67</v>
      </c>
      <c r="AA17" s="80">
        <v>193</v>
      </c>
      <c r="AB17" s="80">
        <v>217</v>
      </c>
      <c r="AC17" s="81">
        <v>39</v>
      </c>
      <c r="AD17" s="81">
        <v>71</v>
      </c>
      <c r="AE17" s="81"/>
      <c r="AF17" s="80">
        <v>12.1</v>
      </c>
      <c r="AG17" s="85"/>
      <c r="AH17" s="81"/>
      <c r="AI17" s="86"/>
      <c r="AJ17" s="86"/>
    </row>
    <row r="18" spans="1:36" s="28" customFormat="1" x14ac:dyDescent="0.25">
      <c r="A18" s="14" t="s">
        <v>59</v>
      </c>
      <c r="B18" s="69" t="s">
        <v>64</v>
      </c>
      <c r="C18" s="69" t="s">
        <v>68</v>
      </c>
      <c r="D18" s="70">
        <v>1135</v>
      </c>
      <c r="E18" s="70">
        <v>1566</v>
      </c>
      <c r="F18" s="70">
        <v>1883</v>
      </c>
      <c r="G18" s="71">
        <v>0.6</v>
      </c>
      <c r="H18" s="71">
        <v>24.9</v>
      </c>
      <c r="I18" s="71">
        <v>2371</v>
      </c>
      <c r="J18" s="72">
        <v>60</v>
      </c>
      <c r="K18" s="78">
        <v>24.489276789117412</v>
      </c>
      <c r="L18" s="78">
        <v>2.5094041839305381E-3</v>
      </c>
      <c r="M18" s="78">
        <v>-1.2814694631135572E-5</v>
      </c>
      <c r="N18" s="78">
        <v>2.2701074756893262E-8</v>
      </c>
      <c r="O18" s="78">
        <v>-1.4683563923960427E-11</v>
      </c>
      <c r="P18" s="78">
        <v>2.7208133748843119E-15</v>
      </c>
      <c r="Q18" s="78">
        <v>0.24892265066473129</v>
      </c>
      <c r="R18" s="78">
        <v>-1.0206910970320041E-4</v>
      </c>
      <c r="S18" s="78">
        <v>5.3117962535140569E-7</v>
      </c>
      <c r="T18" s="78">
        <v>-3.829122794894772E-10</v>
      </c>
      <c r="U18" s="78">
        <v>8.0553728701157122E-14</v>
      </c>
      <c r="V18" s="78">
        <v>1.1533252093942408E-19</v>
      </c>
      <c r="W18" s="80">
        <v>3.62</v>
      </c>
      <c r="X18" s="80">
        <v>5547</v>
      </c>
      <c r="Y18" s="80">
        <v>5547</v>
      </c>
      <c r="Z18" s="80">
        <v>0.79</v>
      </c>
      <c r="AA18" s="80">
        <v>322</v>
      </c>
      <c r="AB18" s="80">
        <v>346</v>
      </c>
      <c r="AC18" s="81">
        <v>42</v>
      </c>
      <c r="AD18" s="81">
        <v>100</v>
      </c>
      <c r="AE18" s="81"/>
      <c r="AF18" s="80">
        <v>11.7</v>
      </c>
      <c r="AG18" s="85"/>
      <c r="AH18" s="81"/>
      <c r="AI18" s="86"/>
      <c r="AJ18" s="86"/>
    </row>
    <row r="19" spans="1:36" s="28" customFormat="1" x14ac:dyDescent="0.25">
      <c r="A19" s="14" t="s">
        <v>59</v>
      </c>
      <c r="B19" s="69" t="s">
        <v>64</v>
      </c>
      <c r="C19" s="69" t="s">
        <v>69</v>
      </c>
      <c r="D19" s="70">
        <v>1811</v>
      </c>
      <c r="E19" s="70">
        <v>2388</v>
      </c>
      <c r="F19" s="70">
        <v>3017</v>
      </c>
      <c r="G19" s="71">
        <v>0.67</v>
      </c>
      <c r="H19" s="71">
        <v>21.1</v>
      </c>
      <c r="I19" s="71">
        <v>3775</v>
      </c>
      <c r="J19" s="72">
        <v>60</v>
      </c>
      <c r="K19" s="78">
        <v>28.062901281867205</v>
      </c>
      <c r="L19" s="78">
        <v>-1.3816992349047986E-3</v>
      </c>
      <c r="M19" s="78">
        <v>-2.4742618415333997E-6</v>
      </c>
      <c r="N19" s="78">
        <v>4.5487601287590572E-10</v>
      </c>
      <c r="O19" s="78">
        <v>2.3658073697567514E-13</v>
      </c>
      <c r="P19" s="78">
        <v>-7.8216445914701603E-17</v>
      </c>
      <c r="Q19" s="78">
        <v>0.38194962815275013</v>
      </c>
      <c r="R19" s="78">
        <v>-2.2593416293018736E-5</v>
      </c>
      <c r="S19" s="78">
        <v>4.9627827680732872E-8</v>
      </c>
      <c r="T19" s="78">
        <v>-8.6844893557485768E-12</v>
      </c>
      <c r="U19" s="78">
        <v>-2.1540968288988805E-17</v>
      </c>
      <c r="V19" s="78">
        <v>-5.4786102390540012E-20</v>
      </c>
      <c r="W19" s="80">
        <v>3.62</v>
      </c>
      <c r="X19" s="80">
        <v>5547</v>
      </c>
      <c r="Y19" s="80">
        <v>5547</v>
      </c>
      <c r="Z19" s="80">
        <v>0.79</v>
      </c>
      <c r="AA19" s="80">
        <v>193</v>
      </c>
      <c r="AB19" s="80">
        <v>322</v>
      </c>
      <c r="AC19" s="81">
        <v>25</v>
      </c>
      <c r="AD19" s="81">
        <v>60</v>
      </c>
      <c r="AE19" s="81"/>
      <c r="AF19" s="80"/>
      <c r="AG19" s="85"/>
      <c r="AH19" s="81"/>
      <c r="AI19" s="86"/>
      <c r="AJ19" s="86"/>
    </row>
    <row r="20" spans="1:36" s="28" customFormat="1" x14ac:dyDescent="0.25">
      <c r="A20" s="14" t="s">
        <v>59</v>
      </c>
      <c r="B20" s="69" t="s">
        <v>64</v>
      </c>
      <c r="C20" s="69" t="s">
        <v>70</v>
      </c>
      <c r="D20" s="70">
        <v>2417</v>
      </c>
      <c r="E20" s="70">
        <v>2985</v>
      </c>
      <c r="F20" s="70">
        <v>3626</v>
      </c>
      <c r="G20" s="71">
        <v>0.66</v>
      </c>
      <c r="H20" s="71">
        <v>20.6</v>
      </c>
      <c r="I20" s="71">
        <v>5281</v>
      </c>
      <c r="J20" s="72">
        <v>60</v>
      </c>
      <c r="K20" s="78">
        <v>28.298492607693078</v>
      </c>
      <c r="L20" s="78">
        <v>-1.0460462600716594E-3</v>
      </c>
      <c r="M20" s="78">
        <v>-7.1954480644831481E-6</v>
      </c>
      <c r="N20" s="78">
        <v>5.2005785754876178E-9</v>
      </c>
      <c r="O20" s="78">
        <v>-1.334969735342698E-12</v>
      </c>
      <c r="P20" s="78">
        <v>1.0963516692186412E-16</v>
      </c>
      <c r="Q20" s="78">
        <v>0.49459324586011622</v>
      </c>
      <c r="R20" s="78">
        <v>-6.0500476345833241E-5</v>
      </c>
      <c r="S20" s="78">
        <v>5.5736565848982276E-8</v>
      </c>
      <c r="T20" s="78">
        <v>-2.8157882682189776E-12</v>
      </c>
      <c r="U20" s="78">
        <v>-1.1706743845472782E-15</v>
      </c>
      <c r="V20" s="78">
        <v>5.1247086850741065E-22</v>
      </c>
      <c r="W20" s="80">
        <v>3.62</v>
      </c>
      <c r="X20" s="80">
        <v>5547</v>
      </c>
      <c r="Y20" s="80">
        <v>5547</v>
      </c>
      <c r="Z20" s="80">
        <v>0.79</v>
      </c>
      <c r="AA20" s="80">
        <v>193</v>
      </c>
      <c r="AB20" s="80">
        <v>322</v>
      </c>
      <c r="AC20" s="81">
        <v>25</v>
      </c>
      <c r="AD20" s="81">
        <v>60</v>
      </c>
      <c r="AE20" s="81"/>
      <c r="AF20" s="80">
        <v>12.3</v>
      </c>
      <c r="AG20" s="85"/>
      <c r="AH20" s="81"/>
      <c r="AI20" s="86"/>
      <c r="AJ20" s="86"/>
    </row>
    <row r="21" spans="1:36" s="28" customFormat="1" x14ac:dyDescent="0.25">
      <c r="A21" s="14" t="s">
        <v>59</v>
      </c>
      <c r="B21" s="69" t="s">
        <v>64</v>
      </c>
      <c r="C21" s="69" t="s">
        <v>217</v>
      </c>
      <c r="D21" s="70">
        <v>53</v>
      </c>
      <c r="E21" s="70">
        <v>75</v>
      </c>
      <c r="F21" s="70">
        <v>98</v>
      </c>
      <c r="G21" s="71">
        <v>0.44</v>
      </c>
      <c r="H21" s="71">
        <v>18</v>
      </c>
      <c r="I21" s="71">
        <v>136</v>
      </c>
      <c r="J21" s="72">
        <v>60</v>
      </c>
      <c r="K21" s="78">
        <v>17.716195681414035</v>
      </c>
      <c r="L21" s="78">
        <v>-3.0504585557950985E-2</v>
      </c>
      <c r="M21" s="78">
        <v>1.8973249183439178E-3</v>
      </c>
      <c r="N21" s="78">
        <v>-3.3411304872363082E-5</v>
      </c>
      <c r="O21" s="78">
        <v>1.2259182896804153E-7</v>
      </c>
      <c r="P21" s="78">
        <v>-1.0030306916736199E-10</v>
      </c>
      <c r="Q21" s="78">
        <v>2.2206228598863252E-2</v>
      </c>
      <c r="R21" s="78">
        <v>-5.6724341106396048E-4</v>
      </c>
      <c r="S21" s="78">
        <v>1.7068903625836039E-5</v>
      </c>
      <c r="T21" s="78">
        <v>-1.7995385592992222E-7</v>
      </c>
      <c r="U21" s="78">
        <v>6.4695588400605965E-10</v>
      </c>
      <c r="V21" s="78">
        <v>-1.6937798357045265E-14</v>
      </c>
      <c r="W21" s="80">
        <v>3.62</v>
      </c>
      <c r="X21" s="80">
        <v>5547</v>
      </c>
      <c r="Y21" s="80">
        <v>5547</v>
      </c>
      <c r="Z21" s="80">
        <v>0.5</v>
      </c>
      <c r="AA21" s="80">
        <v>87</v>
      </c>
      <c r="AB21" s="80">
        <v>100</v>
      </c>
      <c r="AC21" s="81">
        <v>73</v>
      </c>
      <c r="AD21" s="81">
        <v>152</v>
      </c>
      <c r="AE21" s="81"/>
      <c r="AF21" s="80"/>
      <c r="AG21" s="85"/>
      <c r="AH21" s="81"/>
      <c r="AI21" s="86"/>
      <c r="AJ21" s="86"/>
    </row>
    <row r="22" spans="1:36" s="28" customFormat="1" x14ac:dyDescent="0.25">
      <c r="A22" s="14" t="s">
        <v>59</v>
      </c>
      <c r="B22" s="69" t="s">
        <v>97</v>
      </c>
      <c r="C22" s="69" t="s">
        <v>218</v>
      </c>
      <c r="D22" s="70">
        <v>226</v>
      </c>
      <c r="E22" s="70">
        <v>755</v>
      </c>
      <c r="F22" s="70">
        <v>1207</v>
      </c>
      <c r="G22" s="71">
        <v>0.69</v>
      </c>
      <c r="H22" s="71">
        <v>22.8</v>
      </c>
      <c r="I22" s="71">
        <v>1547</v>
      </c>
      <c r="J22" s="72">
        <v>60</v>
      </c>
      <c r="K22" s="78">
        <v>23.319346659709115</v>
      </c>
      <c r="L22" s="78">
        <v>-7.4549995555166252E-3</v>
      </c>
      <c r="M22" s="78">
        <v>3.9379168632393257E-5</v>
      </c>
      <c r="N22" s="78">
        <v>-8.4298968614902333E-8</v>
      </c>
      <c r="O22" s="78">
        <v>5.8020008411481282E-11</v>
      </c>
      <c r="P22" s="78">
        <v>-1.4243250343038465E-14</v>
      </c>
      <c r="Q22" s="78">
        <v>0.12169918852639265</v>
      </c>
      <c r="R22" s="78">
        <v>-3.2072737280548307E-5</v>
      </c>
      <c r="S22" s="78">
        <v>2.9293726177276276E-7</v>
      </c>
      <c r="T22" s="78">
        <v>-3.163204060529578E-10</v>
      </c>
      <c r="U22" s="78">
        <v>9.0723250570613498E-14</v>
      </c>
      <c r="V22" s="78">
        <v>6.0055271198208587E-18</v>
      </c>
      <c r="W22" s="80">
        <v>4.0599999999999996</v>
      </c>
      <c r="X22" s="80">
        <v>5547</v>
      </c>
      <c r="Y22" s="80">
        <v>5547</v>
      </c>
      <c r="Z22" s="80">
        <v>0.55000000000000004</v>
      </c>
      <c r="AA22" s="80">
        <v>105</v>
      </c>
      <c r="AB22" s="80">
        <v>121</v>
      </c>
      <c r="AC22" s="81">
        <v>47</v>
      </c>
      <c r="AD22" s="81">
        <v>84</v>
      </c>
      <c r="AE22" s="81"/>
      <c r="AF22" s="80">
        <v>7.9</v>
      </c>
      <c r="AG22" s="85"/>
      <c r="AH22" s="81"/>
      <c r="AI22" s="86"/>
      <c r="AJ22" s="86"/>
    </row>
    <row r="23" spans="1:36" s="28" customFormat="1" x14ac:dyDescent="0.25">
      <c r="A23" s="14" t="s">
        <v>59</v>
      </c>
      <c r="B23" s="69" t="s">
        <v>97</v>
      </c>
      <c r="C23" s="69" t="s">
        <v>219</v>
      </c>
      <c r="D23" s="70">
        <v>377</v>
      </c>
      <c r="E23" s="70">
        <v>1245</v>
      </c>
      <c r="F23" s="70">
        <v>1509</v>
      </c>
      <c r="G23" s="71">
        <v>0.65</v>
      </c>
      <c r="H23" s="71">
        <v>30.1</v>
      </c>
      <c r="I23" s="71">
        <v>2072</v>
      </c>
      <c r="J23" s="72">
        <v>60</v>
      </c>
      <c r="K23" s="78">
        <v>32.316645425091863</v>
      </c>
      <c r="L23" s="78">
        <v>7.0675561604938188E-3</v>
      </c>
      <c r="M23" s="78">
        <v>-3.0145469884278792E-5</v>
      </c>
      <c r="N23" s="78">
        <v>4.5526676307283228E-8</v>
      </c>
      <c r="O23" s="78">
        <v>-3.1423942983610891E-11</v>
      </c>
      <c r="P23" s="78">
        <v>6.7811454275055818E-15</v>
      </c>
      <c r="Q23" s="78">
        <v>0.18709192874193314</v>
      </c>
      <c r="R23" s="78">
        <v>1.3217365016635947E-4</v>
      </c>
      <c r="S23" s="78">
        <v>1.4318279443381953E-7</v>
      </c>
      <c r="T23" s="78">
        <v>-1.3130206415636335E-10</v>
      </c>
      <c r="U23" s="78">
        <v>2.4114534238667887E-14</v>
      </c>
      <c r="V23" s="78">
        <v>-2.4228097638110822E-19</v>
      </c>
      <c r="W23" s="80">
        <v>4.0599999999999996</v>
      </c>
      <c r="X23" s="80">
        <v>5547</v>
      </c>
      <c r="Y23" s="80">
        <v>5547</v>
      </c>
      <c r="Z23" s="80">
        <v>0.67</v>
      </c>
      <c r="AA23" s="80">
        <v>193</v>
      </c>
      <c r="AB23" s="80">
        <v>217</v>
      </c>
      <c r="AC23" s="81">
        <v>41</v>
      </c>
      <c r="AD23" s="81">
        <v>77</v>
      </c>
      <c r="AE23" s="81"/>
      <c r="AF23" s="80">
        <v>21.2</v>
      </c>
      <c r="AG23" s="85"/>
      <c r="AH23" s="81"/>
      <c r="AI23" s="86"/>
      <c r="AJ23" s="86"/>
    </row>
    <row r="24" spans="1:36" s="28" customFormat="1" x14ac:dyDescent="0.25">
      <c r="A24" s="14" t="s">
        <v>59</v>
      </c>
      <c r="B24" s="69" t="s">
        <v>97</v>
      </c>
      <c r="C24" s="69" t="s">
        <v>220</v>
      </c>
      <c r="D24" s="70">
        <v>377</v>
      </c>
      <c r="E24" s="70">
        <v>1509</v>
      </c>
      <c r="F24" s="70">
        <v>1849</v>
      </c>
      <c r="G24" s="71">
        <v>0.65</v>
      </c>
      <c r="H24" s="71">
        <v>31.1</v>
      </c>
      <c r="I24" s="71">
        <v>2487</v>
      </c>
      <c r="J24" s="72">
        <v>60</v>
      </c>
      <c r="K24" s="78">
        <v>32.185522784929404</v>
      </c>
      <c r="L24" s="78">
        <v>1.3916947718296104E-2</v>
      </c>
      <c r="M24" s="78">
        <v>-4.7838198831165601E-5</v>
      </c>
      <c r="N24" s="78">
        <v>5.7123754566571494E-8</v>
      </c>
      <c r="O24" s="78">
        <v>-2.9305930575070848E-11</v>
      </c>
      <c r="P24" s="78">
        <v>4.9494460362189896E-15</v>
      </c>
      <c r="Q24" s="78">
        <v>0.22159470533837156</v>
      </c>
      <c r="R24" s="78">
        <v>2.7633377475918023E-4</v>
      </c>
      <c r="S24" s="78">
        <v>-4.1820720521143976E-7</v>
      </c>
      <c r="T24" s="78">
        <v>6.2468500088431439E-10</v>
      </c>
      <c r="U24" s="78">
        <v>-3.7049249110472052E-13</v>
      </c>
      <c r="V24" s="78">
        <v>7.1298259269499555E-17</v>
      </c>
      <c r="W24" s="80">
        <v>4.0599999999999996</v>
      </c>
      <c r="X24" s="80">
        <v>6000</v>
      </c>
      <c r="Y24" s="80">
        <v>6000</v>
      </c>
      <c r="Z24" s="80">
        <v>0.67</v>
      </c>
      <c r="AA24" s="80">
        <v>193</v>
      </c>
      <c r="AB24" s="80">
        <v>217</v>
      </c>
      <c r="AC24" s="81">
        <v>34</v>
      </c>
      <c r="AD24" s="81">
        <v>63</v>
      </c>
      <c r="AE24" s="81"/>
      <c r="AF24" s="80">
        <v>20.6</v>
      </c>
      <c r="AG24" s="85"/>
      <c r="AH24" s="81"/>
      <c r="AI24" s="86"/>
      <c r="AJ24" s="86"/>
    </row>
    <row r="25" spans="1:36" s="28" customFormat="1" x14ac:dyDescent="0.25">
      <c r="A25" s="14" t="s">
        <v>59</v>
      </c>
      <c r="B25" s="69" t="s">
        <v>97</v>
      </c>
      <c r="C25" s="69" t="s">
        <v>221</v>
      </c>
      <c r="D25" s="70">
        <v>604</v>
      </c>
      <c r="E25" s="70">
        <v>2415</v>
      </c>
      <c r="F25" s="70">
        <v>3019</v>
      </c>
      <c r="G25" s="71">
        <v>0.7</v>
      </c>
      <c r="H25" s="71">
        <v>24.9</v>
      </c>
      <c r="I25" s="71">
        <v>4000</v>
      </c>
      <c r="J25" s="72">
        <v>60</v>
      </c>
      <c r="K25" s="78">
        <v>35.896376134641436</v>
      </c>
      <c r="L25" s="78">
        <v>-5.577318820199394E-3</v>
      </c>
      <c r="M25" s="78">
        <v>3.0775978418264628E-6</v>
      </c>
      <c r="N25" s="78">
        <v>-3.6774887250822601E-9</v>
      </c>
      <c r="O25" s="78">
        <v>1.273818534958229E-12</v>
      </c>
      <c r="P25" s="78">
        <v>-1.4816671278616077E-16</v>
      </c>
      <c r="Q25" s="78">
        <v>0.45754709761748935</v>
      </c>
      <c r="R25" s="78">
        <v>-2.6797345027748289E-5</v>
      </c>
      <c r="S25" s="78">
        <v>4.9489527063012475E-8</v>
      </c>
      <c r="T25" s="78">
        <v>-1.1804353800393E-11</v>
      </c>
      <c r="U25" s="78">
        <v>-2.8937548248065866E-16</v>
      </c>
      <c r="V25" s="78">
        <v>1.1761740788099675E-20</v>
      </c>
      <c r="W25" s="80">
        <v>4.0599999999999996</v>
      </c>
      <c r="X25" s="80">
        <v>6000</v>
      </c>
      <c r="Y25" s="80">
        <v>6000</v>
      </c>
      <c r="Z25" s="80">
        <v>0.79</v>
      </c>
      <c r="AA25" s="80">
        <v>322</v>
      </c>
      <c r="AB25" s="80">
        <v>346</v>
      </c>
      <c r="AC25" s="81">
        <v>28</v>
      </c>
      <c r="AD25" s="81">
        <v>67</v>
      </c>
      <c r="AE25" s="81"/>
      <c r="AF25" s="80">
        <v>12.4</v>
      </c>
      <c r="AG25" s="85"/>
      <c r="AH25" s="81"/>
      <c r="AI25" s="86"/>
      <c r="AJ25" s="86"/>
    </row>
    <row r="26" spans="1:36" s="28" customFormat="1" ht="12" customHeight="1" x14ac:dyDescent="0.25">
      <c r="A26" s="14" t="s">
        <v>59</v>
      </c>
      <c r="B26" s="69" t="s">
        <v>97</v>
      </c>
      <c r="C26" s="69" t="s">
        <v>72</v>
      </c>
      <c r="D26" s="71">
        <v>792</v>
      </c>
      <c r="E26" s="71">
        <v>3094</v>
      </c>
      <c r="F26" s="71">
        <v>3773</v>
      </c>
      <c r="G26" s="71">
        <v>0.73</v>
      </c>
      <c r="H26" s="71">
        <v>25.9</v>
      </c>
      <c r="I26" s="71">
        <v>4887</v>
      </c>
      <c r="J26" s="72">
        <v>60</v>
      </c>
      <c r="K26" s="78">
        <v>33.512148394251533</v>
      </c>
      <c r="L26" s="78">
        <v>-1.2556986671998543E-4</v>
      </c>
      <c r="M26" s="78">
        <v>-3.5609477182270736E-6</v>
      </c>
      <c r="N26" s="78">
        <v>1.6784197265232264E-9</v>
      </c>
      <c r="O26" s="78">
        <v>-3.7711884135003441E-13</v>
      </c>
      <c r="P26" s="78">
        <v>2.5578475641753438E-17</v>
      </c>
      <c r="Q26" s="78">
        <v>0.47708885462743322</v>
      </c>
      <c r="R26" s="78">
        <v>8.7110515389255224E-5</v>
      </c>
      <c r="S26" s="78">
        <v>-1.0382149368049501E-7</v>
      </c>
      <c r="T26" s="78">
        <v>9.2675837049344598E-11</v>
      </c>
      <c r="U26" s="78">
        <v>-2.8591524036424685E-14</v>
      </c>
      <c r="V26" s="78">
        <v>2.7909406912834458E-18</v>
      </c>
      <c r="W26" s="80">
        <v>4.0599999999999996</v>
      </c>
      <c r="X26" s="80">
        <v>6000</v>
      </c>
      <c r="Y26" s="80">
        <v>6000</v>
      </c>
      <c r="Z26" s="80">
        <v>0.79</v>
      </c>
      <c r="AA26" s="80">
        <v>322</v>
      </c>
      <c r="AB26" s="80">
        <v>346</v>
      </c>
      <c r="AC26" s="81">
        <v>24</v>
      </c>
      <c r="AD26" s="81">
        <v>59</v>
      </c>
      <c r="AE26" s="81"/>
      <c r="AF26" s="80">
        <v>18.100000000000001</v>
      </c>
      <c r="AG26" s="85"/>
      <c r="AH26" s="81"/>
      <c r="AI26" s="86"/>
      <c r="AJ26" s="86"/>
    </row>
    <row r="27" spans="1:36" s="28" customFormat="1" x14ac:dyDescent="0.25">
      <c r="A27" s="14" t="s">
        <v>59</v>
      </c>
      <c r="B27" s="69" t="s">
        <v>97</v>
      </c>
      <c r="C27" s="69" t="s">
        <v>222</v>
      </c>
      <c r="D27" s="71">
        <v>943</v>
      </c>
      <c r="E27" s="71">
        <v>3773</v>
      </c>
      <c r="F27" s="71">
        <v>4528</v>
      </c>
      <c r="G27" s="71">
        <v>0.7</v>
      </c>
      <c r="H27" s="71">
        <v>22.5</v>
      </c>
      <c r="I27" s="71">
        <v>5508</v>
      </c>
      <c r="J27" s="72">
        <v>60</v>
      </c>
      <c r="K27" s="78">
        <v>34.604823167738502</v>
      </c>
      <c r="L27" s="78">
        <v>-4.228169712798504E-4</v>
      </c>
      <c r="M27" s="78">
        <v>-4.718426909176169E-6</v>
      </c>
      <c r="N27" s="78">
        <v>1.9487015538593023E-9</v>
      </c>
      <c r="O27" s="78">
        <v>-3.3301511628513096E-13</v>
      </c>
      <c r="P27" s="78">
        <v>1.8169117981715714E-17</v>
      </c>
      <c r="Q27" s="78">
        <v>0.67058341791438636</v>
      </c>
      <c r="R27" s="78">
        <v>-3.7749413003089445E-5</v>
      </c>
      <c r="S27" s="78">
        <v>4.5704845948558394E-8</v>
      </c>
      <c r="T27" s="78">
        <v>-2.4242171790795307E-11</v>
      </c>
      <c r="U27" s="78">
        <v>6.2525171864211091E-15</v>
      </c>
      <c r="V27" s="78">
        <v>-6.0501199746588052E-19</v>
      </c>
      <c r="W27" s="80">
        <v>4.0599999999999996</v>
      </c>
      <c r="X27" s="80">
        <v>5547</v>
      </c>
      <c r="Y27" s="80">
        <v>5547</v>
      </c>
      <c r="Z27" s="80">
        <v>0.87</v>
      </c>
      <c r="AA27" s="80">
        <v>434</v>
      </c>
      <c r="AB27" s="80">
        <v>46</v>
      </c>
      <c r="AC27" s="81">
        <v>24</v>
      </c>
      <c r="AD27" s="81">
        <v>59</v>
      </c>
      <c r="AE27" s="81"/>
      <c r="AF27" s="80">
        <v>22.9</v>
      </c>
      <c r="AG27" s="85"/>
      <c r="AH27" s="81"/>
      <c r="AI27" s="86"/>
      <c r="AJ27" s="86"/>
    </row>
    <row r="28" spans="1:36" s="28" customFormat="1" x14ac:dyDescent="0.25">
      <c r="A28" s="14" t="s">
        <v>59</v>
      </c>
      <c r="B28" s="69" t="s">
        <v>73</v>
      </c>
      <c r="C28" s="69" t="s">
        <v>74</v>
      </c>
      <c r="D28" s="70">
        <v>566</v>
      </c>
      <c r="E28" s="70">
        <v>2264</v>
      </c>
      <c r="F28" s="70">
        <v>3170</v>
      </c>
      <c r="G28" s="71">
        <v>0.67</v>
      </c>
      <c r="H28" s="71">
        <v>58.2</v>
      </c>
      <c r="I28" s="71">
        <v>3546</v>
      </c>
      <c r="J28" s="72">
        <v>60</v>
      </c>
      <c r="K28" s="78">
        <v>61.63989244046067</v>
      </c>
      <c r="L28" s="78">
        <v>1.5516117512185401E-2</v>
      </c>
      <c r="M28" s="78">
        <v>-3.8012236889516237E-5</v>
      </c>
      <c r="N28" s="78">
        <v>2.8557522397965374E-8</v>
      </c>
      <c r="O28" s="78">
        <v>-9.3505004681706766E-12</v>
      </c>
      <c r="P28" s="78">
        <v>1.0097422745412138E-15</v>
      </c>
      <c r="Q28" s="78">
        <v>0.61540540575317815</v>
      </c>
      <c r="R28" s="78">
        <v>4.3947371447027679E-4</v>
      </c>
      <c r="S28" s="78">
        <v>-2.5059770128811397E-7</v>
      </c>
      <c r="T28" s="78">
        <v>1.8146302360151957E-10</v>
      </c>
      <c r="U28" s="78">
        <v>-6.3300236118245946E-14</v>
      </c>
      <c r="V28" s="78">
        <v>7.2840924153438043E-18</v>
      </c>
      <c r="W28" s="80">
        <v>5.35</v>
      </c>
      <c r="X28" s="80">
        <v>6000</v>
      </c>
      <c r="Y28" s="80">
        <v>6000</v>
      </c>
      <c r="Z28" s="80">
        <v>0.87</v>
      </c>
      <c r="AA28" s="80">
        <v>434</v>
      </c>
      <c r="AB28" s="80">
        <v>466</v>
      </c>
      <c r="AC28" s="81">
        <v>32</v>
      </c>
      <c r="AD28" s="81">
        <v>92</v>
      </c>
      <c r="AE28" s="81"/>
      <c r="AF28" s="80">
        <v>50.7</v>
      </c>
      <c r="AG28" s="85"/>
      <c r="AH28" s="81"/>
      <c r="AI28" s="86"/>
      <c r="AJ28" s="86"/>
    </row>
    <row r="29" spans="1:36" s="28" customFormat="1" x14ac:dyDescent="0.25">
      <c r="A29" s="14" t="s">
        <v>59</v>
      </c>
      <c r="B29" s="69" t="s">
        <v>73</v>
      </c>
      <c r="C29" s="69" t="s">
        <v>75</v>
      </c>
      <c r="D29" s="70">
        <v>943</v>
      </c>
      <c r="E29" s="70">
        <v>3773</v>
      </c>
      <c r="F29" s="70">
        <v>5433</v>
      </c>
      <c r="G29" s="71">
        <v>0.75</v>
      </c>
      <c r="H29" s="71">
        <v>55.4</v>
      </c>
      <c r="I29" s="71">
        <v>6191</v>
      </c>
      <c r="J29" s="72">
        <v>60</v>
      </c>
      <c r="K29" s="78">
        <v>57.386130011032648</v>
      </c>
      <c r="L29" s="78">
        <v>5.0626689446733322E-4</v>
      </c>
      <c r="M29" s="78">
        <v>-1.9000881883401413E-6</v>
      </c>
      <c r="N29" s="78">
        <v>1.275500680522175E-9</v>
      </c>
      <c r="O29" s="78">
        <v>-3.8876651495403624E-13</v>
      </c>
      <c r="P29" s="78">
        <v>3.0804797075807152E-17</v>
      </c>
      <c r="Q29" s="78">
        <v>1.15498607639356</v>
      </c>
      <c r="R29" s="78">
        <v>-3.9333031214484681E-4</v>
      </c>
      <c r="S29" s="78">
        <v>2.8967500468335348E-7</v>
      </c>
      <c r="T29" s="78">
        <v>-1.0412613817820772E-11</v>
      </c>
      <c r="U29" s="78">
        <v>-1.454535111698237E-14</v>
      </c>
      <c r="V29" s="78">
        <v>1.7291894178711821E-18</v>
      </c>
      <c r="W29" s="80">
        <v>5.35</v>
      </c>
      <c r="X29" s="80">
        <v>6000</v>
      </c>
      <c r="Y29" s="80">
        <v>6000</v>
      </c>
      <c r="Z29" s="80">
        <v>0.87</v>
      </c>
      <c r="AA29" s="80">
        <v>434</v>
      </c>
      <c r="AB29" s="80">
        <v>466</v>
      </c>
      <c r="AC29" s="81">
        <v>20</v>
      </c>
      <c r="AD29" s="81">
        <v>61</v>
      </c>
      <c r="AE29" s="81"/>
      <c r="AF29" s="80">
        <v>58.7</v>
      </c>
      <c r="AG29" s="85"/>
      <c r="AH29" s="81"/>
      <c r="AI29" s="86"/>
      <c r="AJ29" s="86"/>
    </row>
    <row r="30" spans="1:36" s="28" customFormat="1" x14ac:dyDescent="0.25">
      <c r="A30" s="14" t="s">
        <v>59</v>
      </c>
      <c r="B30" s="69" t="s">
        <v>73</v>
      </c>
      <c r="C30" s="69" t="s">
        <v>76</v>
      </c>
      <c r="D30" s="70">
        <v>3396</v>
      </c>
      <c r="E30" s="70">
        <v>4905</v>
      </c>
      <c r="F30" s="70">
        <v>6037</v>
      </c>
      <c r="G30" s="71">
        <v>0.7</v>
      </c>
      <c r="H30" s="71">
        <v>57</v>
      </c>
      <c r="I30" s="71">
        <v>8833</v>
      </c>
      <c r="J30" s="72">
        <v>60</v>
      </c>
      <c r="K30" s="78">
        <v>62.816695104314178</v>
      </c>
      <c r="L30" s="78">
        <v>3.4092378733096736E-3</v>
      </c>
      <c r="M30" s="78">
        <v>-3.9892966982749178E-6</v>
      </c>
      <c r="N30" s="78">
        <v>1.2294322647514097E-9</v>
      </c>
      <c r="O30" s="78">
        <v>-1.7610706089417999E-13</v>
      </c>
      <c r="P30" s="78">
        <v>8.241625834574237E-18</v>
      </c>
      <c r="Q30" s="78">
        <v>1.3314598883112849</v>
      </c>
      <c r="R30" s="78">
        <v>4.1076312579092436E-4</v>
      </c>
      <c r="S30" s="78">
        <v>-3.2180234014297879E-8</v>
      </c>
      <c r="T30" s="78">
        <v>-8.4442053126946785E-14</v>
      </c>
      <c r="U30" s="78">
        <v>4.8161239878156735E-18</v>
      </c>
      <c r="V30" s="78">
        <v>-1.7325385503169603E-23</v>
      </c>
      <c r="W30" s="80">
        <v>5.35</v>
      </c>
      <c r="X30" s="80">
        <v>6000</v>
      </c>
      <c r="Y30" s="80">
        <v>6000</v>
      </c>
      <c r="Z30" s="80">
        <v>1.181</v>
      </c>
      <c r="AA30" s="80">
        <v>1110</v>
      </c>
      <c r="AB30" s="80">
        <v>1198</v>
      </c>
      <c r="AC30" s="81">
        <v>21</v>
      </c>
      <c r="AD30" s="81">
        <v>65</v>
      </c>
      <c r="AE30" s="81"/>
      <c r="AF30" s="80">
        <v>68.8</v>
      </c>
      <c r="AG30" s="85"/>
      <c r="AH30" s="81"/>
      <c r="AI30" s="86"/>
      <c r="AJ30" s="86"/>
    </row>
    <row r="31" spans="1:36" s="28" customFormat="1" x14ac:dyDescent="0.25">
      <c r="A31" s="14" t="s">
        <v>59</v>
      </c>
      <c r="B31" s="69" t="s">
        <v>73</v>
      </c>
      <c r="C31" s="69" t="s">
        <v>77</v>
      </c>
      <c r="D31" s="70">
        <v>1509</v>
      </c>
      <c r="E31" s="70">
        <v>5660</v>
      </c>
      <c r="F31" s="70">
        <v>6792</v>
      </c>
      <c r="G31" s="71">
        <v>0.78</v>
      </c>
      <c r="H31" s="71">
        <v>44.4</v>
      </c>
      <c r="I31" s="71">
        <v>10141</v>
      </c>
      <c r="J31" s="72">
        <v>60</v>
      </c>
      <c r="K31" s="78">
        <v>51.824322801815214</v>
      </c>
      <c r="L31" s="78">
        <v>-2.1850473982944945E-3</v>
      </c>
      <c r="M31" s="78">
        <v>5.5275724447581127E-7</v>
      </c>
      <c r="N31" s="78">
        <v>-1.415155193357015E-10</v>
      </c>
      <c r="O31" s="78">
        <v>8.4875675372688338E-15</v>
      </c>
      <c r="P31" s="78">
        <v>-2.357404090549521E-19</v>
      </c>
      <c r="Q31" s="78">
        <v>1.3798228442625646</v>
      </c>
      <c r="R31" s="78">
        <v>-8.2065779936022783E-5</v>
      </c>
      <c r="S31" s="78">
        <v>1.157661895755401E-7</v>
      </c>
      <c r="T31" s="78">
        <v>-1.9801906515721757E-11</v>
      </c>
      <c r="U31" s="78">
        <v>1.0143745416199039E-15</v>
      </c>
      <c r="V31" s="78">
        <v>1.2500822513614573E-22</v>
      </c>
      <c r="W31" s="80">
        <v>5.35</v>
      </c>
      <c r="X31" s="80">
        <v>4978</v>
      </c>
      <c r="Y31" s="80">
        <v>4978</v>
      </c>
      <c r="Z31" s="80">
        <v>0.87</v>
      </c>
      <c r="AA31" s="80">
        <v>434</v>
      </c>
      <c r="AB31" s="80">
        <v>466</v>
      </c>
      <c r="AC31" s="81">
        <v>13</v>
      </c>
      <c r="AD31" s="81">
        <v>39</v>
      </c>
      <c r="AE31" s="81"/>
      <c r="AF31" s="80">
        <v>47.8</v>
      </c>
      <c r="AG31" s="85"/>
      <c r="AH31" s="81"/>
      <c r="AI31" s="86"/>
      <c r="AJ31" s="86"/>
    </row>
    <row r="32" spans="1:36" s="28" customFormat="1" x14ac:dyDescent="0.25">
      <c r="A32" s="14" t="s">
        <v>59</v>
      </c>
      <c r="B32" s="69" t="s">
        <v>73</v>
      </c>
      <c r="C32" s="69" t="s">
        <v>78</v>
      </c>
      <c r="D32" s="70">
        <v>1887</v>
      </c>
      <c r="E32" s="70">
        <v>7547</v>
      </c>
      <c r="F32" s="70">
        <v>9811</v>
      </c>
      <c r="G32" s="71">
        <v>0.79</v>
      </c>
      <c r="H32" s="71">
        <v>48.7</v>
      </c>
      <c r="I32" s="71">
        <v>12447</v>
      </c>
      <c r="J32" s="72">
        <v>60</v>
      </c>
      <c r="K32" s="78">
        <v>69.075505966145982</v>
      </c>
      <c r="L32" s="78">
        <v>-1.2442970742272469E-3</v>
      </c>
      <c r="M32" s="78">
        <v>-2.1714151675678718E-6</v>
      </c>
      <c r="N32" s="78">
        <v>5.4471559404019129E-10</v>
      </c>
      <c r="O32" s="78">
        <v>-5.1063873027116616E-14</v>
      </c>
      <c r="P32" s="78">
        <v>1.533703395501282E-18</v>
      </c>
      <c r="Q32" s="78">
        <v>2.5129698470347028</v>
      </c>
      <c r="R32" s="78">
        <v>-4.3350656809001593E-5</v>
      </c>
      <c r="S32" s="78">
        <v>3.6911478639005598E-8</v>
      </c>
      <c r="T32" s="78">
        <v>-1.404821301371103E-12</v>
      </c>
      <c r="U32" s="78">
        <v>-4.6115555106589524E-16</v>
      </c>
      <c r="V32" s="78">
        <v>3.2241030243578852E-20</v>
      </c>
      <c r="W32" s="80">
        <v>5.35</v>
      </c>
      <c r="X32" s="80">
        <v>4978</v>
      </c>
      <c r="Y32" s="80">
        <v>4978</v>
      </c>
      <c r="Z32" s="80">
        <v>0.98</v>
      </c>
      <c r="AA32" s="80">
        <v>635</v>
      </c>
      <c r="AB32" s="80">
        <v>683</v>
      </c>
      <c r="AC32" s="81">
        <v>12</v>
      </c>
      <c r="AD32" s="81">
        <v>39</v>
      </c>
      <c r="AE32" s="81"/>
      <c r="AF32" s="80">
        <v>51.7</v>
      </c>
      <c r="AG32" s="85"/>
      <c r="AH32" s="81"/>
      <c r="AI32" s="86"/>
      <c r="AJ32" s="86"/>
    </row>
    <row r="33" spans="1:36" s="28" customFormat="1" x14ac:dyDescent="0.25">
      <c r="A33" s="14" t="s">
        <v>59</v>
      </c>
      <c r="B33" s="69" t="s">
        <v>73</v>
      </c>
      <c r="C33" s="69" t="s">
        <v>79</v>
      </c>
      <c r="D33" s="70">
        <v>3019</v>
      </c>
      <c r="E33" s="70">
        <v>12075</v>
      </c>
      <c r="F33" s="70">
        <v>15094</v>
      </c>
      <c r="G33" s="71">
        <v>0.79</v>
      </c>
      <c r="H33" s="71">
        <v>46.7</v>
      </c>
      <c r="I33" s="71">
        <v>20109</v>
      </c>
      <c r="J33" s="72">
        <v>60</v>
      </c>
      <c r="K33" s="87">
        <v>54.707576028055058</v>
      </c>
      <c r="L33" s="87">
        <v>1.7408033885807567E-4</v>
      </c>
      <c r="M33" s="87">
        <v>-9.3426552024281127E-7</v>
      </c>
      <c r="N33" s="87">
        <v>1.741761427269099E-10</v>
      </c>
      <c r="O33" s="87">
        <v>-1.1410827452094866E-14</v>
      </c>
      <c r="P33" s="87">
        <v>2.3572476736516711E-19</v>
      </c>
      <c r="Q33" s="87">
        <v>3.0098061539782126</v>
      </c>
      <c r="R33" s="87">
        <v>2.2173901134294263E-4</v>
      </c>
      <c r="S33" s="87">
        <v>-8.1366541853457063E-8</v>
      </c>
      <c r="T33" s="87">
        <v>1.5168294369281965E-11</v>
      </c>
      <c r="U33" s="87">
        <v>-9.5856823274364564E-16</v>
      </c>
      <c r="V33" s="87">
        <v>1.9483768316656124E-20</v>
      </c>
      <c r="W33" s="80">
        <v>5.35</v>
      </c>
      <c r="X33" s="80">
        <v>4978</v>
      </c>
      <c r="Y33" s="80">
        <v>4978</v>
      </c>
      <c r="Z33" s="80">
        <v>1.18</v>
      </c>
      <c r="AA33" s="80">
        <v>1110</v>
      </c>
      <c r="AB33" s="80">
        <v>1198</v>
      </c>
      <c r="AC33" s="81">
        <v>10</v>
      </c>
      <c r="AD33" s="81">
        <v>32</v>
      </c>
      <c r="AE33" s="81"/>
      <c r="AF33" s="80">
        <v>63.1</v>
      </c>
      <c r="AG33" s="85"/>
      <c r="AH33" s="81"/>
      <c r="AI33" s="86"/>
      <c r="AJ33" s="86"/>
    </row>
    <row r="34" spans="1:36" s="28" customFormat="1" x14ac:dyDescent="0.25">
      <c r="A34" s="14" t="s">
        <v>59</v>
      </c>
      <c r="B34" s="69" t="s">
        <v>223</v>
      </c>
      <c r="C34" s="69" t="s">
        <v>80</v>
      </c>
      <c r="D34" s="70">
        <v>11320</v>
      </c>
      <c r="E34" s="70">
        <v>16980</v>
      </c>
      <c r="F34" s="70">
        <v>22640</v>
      </c>
      <c r="G34" s="71">
        <v>0.78</v>
      </c>
      <c r="H34" s="71">
        <v>82.8</v>
      </c>
      <c r="I34" s="71">
        <v>21886</v>
      </c>
      <c r="J34" s="72">
        <v>60</v>
      </c>
      <c r="K34" s="78">
        <v>38.164723855060686</v>
      </c>
      <c r="L34" s="78">
        <v>3.2651959557967417E-2</v>
      </c>
      <c r="M34" s="78">
        <v>-6.5912578733633668E-6</v>
      </c>
      <c r="N34" s="78">
        <v>5.5120406772659041E-10</v>
      </c>
      <c r="O34" s="78">
        <v>-2.071712376438606E-14</v>
      </c>
      <c r="P34" s="78">
        <v>2.7468263686501082E-19</v>
      </c>
      <c r="Q34" s="78">
        <v>6.1129892481418375</v>
      </c>
      <c r="R34" s="78">
        <v>-1.035872327225988E-4</v>
      </c>
      <c r="S34" s="78">
        <v>4.7205114458152817E-8</v>
      </c>
      <c r="T34" s="78">
        <v>-2.3077119089453116E-12</v>
      </c>
      <c r="U34" s="78">
        <v>4.1923348609609648E-17</v>
      </c>
      <c r="V34" s="78">
        <v>-5.6344298974758016E-22</v>
      </c>
      <c r="W34" s="80">
        <v>6.77</v>
      </c>
      <c r="X34" s="80">
        <v>4831</v>
      </c>
      <c r="Y34" s="80">
        <v>4831</v>
      </c>
      <c r="Z34" s="80">
        <v>1.18</v>
      </c>
      <c r="AA34" s="80">
        <v>563</v>
      </c>
      <c r="AB34" s="80">
        <v>780</v>
      </c>
      <c r="AC34" s="81">
        <v>9</v>
      </c>
      <c r="AD34" s="81">
        <v>29</v>
      </c>
      <c r="AE34" s="81"/>
      <c r="AF34" s="80">
        <v>153.6</v>
      </c>
      <c r="AG34" s="85"/>
      <c r="AH34" s="81"/>
      <c r="AI34" s="86"/>
      <c r="AJ34" s="86"/>
    </row>
    <row r="35" spans="1:36" s="28" customFormat="1" x14ac:dyDescent="0.25">
      <c r="A35" s="14" t="s">
        <v>59</v>
      </c>
      <c r="B35" s="69" t="s">
        <v>223</v>
      </c>
      <c r="C35" s="69" t="s">
        <v>81</v>
      </c>
      <c r="D35" s="70">
        <v>10597</v>
      </c>
      <c r="E35" s="70">
        <v>14927</v>
      </c>
      <c r="F35" s="70">
        <v>19617</v>
      </c>
      <c r="G35" s="71">
        <v>0.75</v>
      </c>
      <c r="H35" s="71">
        <v>77.8</v>
      </c>
      <c r="I35" s="71">
        <v>27149</v>
      </c>
      <c r="J35" s="72">
        <v>60</v>
      </c>
      <c r="K35" s="78">
        <v>97.313839987351457</v>
      </c>
      <c r="L35" s="78">
        <v>2.0843438850444004E-3</v>
      </c>
      <c r="M35" s="78">
        <v>-9.7254891452781862E-7</v>
      </c>
      <c r="N35" s="78">
        <v>9.146517901250609E-11</v>
      </c>
      <c r="O35" s="78">
        <v>-3.8486025917907622E-15</v>
      </c>
      <c r="P35" s="78">
        <v>5.5838026815409339E-20</v>
      </c>
      <c r="Q35" s="78">
        <v>7.2012972064288405</v>
      </c>
      <c r="R35" s="78">
        <v>3.8796323379484217E-4</v>
      </c>
      <c r="S35" s="78">
        <v>-7.1878883908912255E-8</v>
      </c>
      <c r="T35" s="78">
        <v>8.2281367246919785E-12</v>
      </c>
      <c r="U35" s="78">
        <v>-3.814065493762886E-16</v>
      </c>
      <c r="V35" s="78">
        <v>5.8698157959961921E-21</v>
      </c>
      <c r="W35" s="80">
        <v>6.77</v>
      </c>
      <c r="X35" s="80">
        <v>4831</v>
      </c>
      <c r="Y35" s="80">
        <v>4831</v>
      </c>
      <c r="Z35" s="80">
        <v>1.38</v>
      </c>
      <c r="AA35" s="80">
        <v>1179</v>
      </c>
      <c r="AB35" s="80">
        <v>1619</v>
      </c>
      <c r="AC35" s="81">
        <v>9</v>
      </c>
      <c r="AD35" s="81">
        <v>29</v>
      </c>
      <c r="AE35" s="81"/>
      <c r="AF35" s="80">
        <v>167</v>
      </c>
      <c r="AG35" s="85"/>
      <c r="AH35" s="81"/>
      <c r="AI35" s="86"/>
      <c r="AJ35" s="86"/>
    </row>
    <row r="36" spans="1:36" s="28" customFormat="1" x14ac:dyDescent="0.25">
      <c r="A36" s="14" t="s">
        <v>59</v>
      </c>
      <c r="B36" s="69" t="s">
        <v>223</v>
      </c>
      <c r="C36" s="69" t="s">
        <v>82</v>
      </c>
      <c r="D36" s="70">
        <v>12874</v>
      </c>
      <c r="E36" s="70">
        <v>18637</v>
      </c>
      <c r="F36" s="70">
        <v>27164</v>
      </c>
      <c r="G36" s="71">
        <v>0.77</v>
      </c>
      <c r="H36" s="71">
        <v>68.400000000000006</v>
      </c>
      <c r="I36" s="71">
        <v>31754</v>
      </c>
      <c r="J36" s="72">
        <v>60</v>
      </c>
      <c r="K36" s="78">
        <v>38.126238543988791</v>
      </c>
      <c r="L36" s="78">
        <v>1.6153505942922482E-2</v>
      </c>
      <c r="M36" s="78">
        <v>-2.2727236842724619E-6</v>
      </c>
      <c r="N36" s="78">
        <v>1.3734139219696948E-10</v>
      </c>
      <c r="O36" s="78">
        <v>-3.8269493778565936E-15</v>
      </c>
      <c r="P36" s="78">
        <v>3.8388721348579345E-20</v>
      </c>
      <c r="Q36" s="78">
        <v>7.3168800570527601</v>
      </c>
      <c r="R36" s="78">
        <v>3.0509718042423664E-4</v>
      </c>
      <c r="S36" s="78">
        <v>-1.7307369865727688E-8</v>
      </c>
      <c r="T36" s="78">
        <v>1.1718410116746724E-12</v>
      </c>
      <c r="U36" s="78">
        <v>-2.493312329426497E-17</v>
      </c>
      <c r="V36" s="78">
        <v>-5.3948761227275547E-23</v>
      </c>
      <c r="W36" s="80">
        <v>6.77</v>
      </c>
      <c r="X36" s="80">
        <v>4831</v>
      </c>
      <c r="Y36" s="80">
        <v>4831</v>
      </c>
      <c r="Z36" s="80">
        <v>1.38</v>
      </c>
      <c r="AA36" s="80">
        <v>1179</v>
      </c>
      <c r="AB36" s="80">
        <v>1619</v>
      </c>
      <c r="AC36" s="81">
        <v>8</v>
      </c>
      <c r="AD36" s="81">
        <v>26</v>
      </c>
      <c r="AE36" s="81"/>
      <c r="AF36" s="80">
        <v>135.80000000000001</v>
      </c>
      <c r="AG36" s="85"/>
      <c r="AH36" s="81"/>
      <c r="AI36" s="86"/>
      <c r="AJ36" s="86"/>
    </row>
    <row r="37" spans="1:36" s="28" customFormat="1" ht="12.6" customHeight="1" x14ac:dyDescent="0.25">
      <c r="A37" s="14" t="s">
        <v>59</v>
      </c>
      <c r="B37" s="69" t="s">
        <v>83</v>
      </c>
      <c r="C37" s="69" t="s">
        <v>84</v>
      </c>
      <c r="D37" s="70">
        <v>114</v>
      </c>
      <c r="E37" s="70">
        <v>150</v>
      </c>
      <c r="F37" s="70">
        <v>226</v>
      </c>
      <c r="G37" s="71">
        <v>0.4</v>
      </c>
      <c r="H37" s="71">
        <v>21.7</v>
      </c>
      <c r="I37" s="71">
        <v>491</v>
      </c>
      <c r="J37" s="72">
        <v>60</v>
      </c>
      <c r="K37" s="78">
        <v>23.054361806668616</v>
      </c>
      <c r="L37" s="78">
        <v>-2.7101837813293093E-2</v>
      </c>
      <c r="M37" s="78">
        <v>2.7226246569291192E-4</v>
      </c>
      <c r="N37" s="78">
        <v>-1.3770563353441811E-6</v>
      </c>
      <c r="O37" s="78">
        <v>1.860026843009706E-9</v>
      </c>
      <c r="P37" s="78">
        <v>-6.9879704699455206E-13</v>
      </c>
      <c r="Q37" s="78">
        <v>4.6201365090875607E-2</v>
      </c>
      <c r="R37" s="78">
        <v>1.339182888315832E-4</v>
      </c>
      <c r="S37" s="78">
        <v>1.7601340874867381E-7</v>
      </c>
      <c r="T37" s="78">
        <v>-6.0319199334058052E-10</v>
      </c>
      <c r="U37" s="78">
        <v>1.2557709751365443E-12</v>
      </c>
      <c r="V37" s="78">
        <v>-1.0379243928459734E-15</v>
      </c>
      <c r="W37" s="80">
        <v>3.38</v>
      </c>
      <c r="X37" s="80">
        <v>5547</v>
      </c>
      <c r="Y37" s="80">
        <v>5547</v>
      </c>
      <c r="Z37" s="80">
        <v>0.67</v>
      </c>
      <c r="AA37" s="80">
        <v>193</v>
      </c>
      <c r="AB37" s="80">
        <v>217</v>
      </c>
      <c r="AC37" s="81">
        <v>97</v>
      </c>
      <c r="AD37" s="81">
        <v>200</v>
      </c>
      <c r="AE37" s="81"/>
      <c r="AF37" s="80">
        <v>7.4</v>
      </c>
      <c r="AG37" s="85"/>
      <c r="AH37" s="81"/>
      <c r="AI37" s="86"/>
      <c r="AJ37" s="86"/>
    </row>
    <row r="38" spans="1:36" s="28" customFormat="1" x14ac:dyDescent="0.25">
      <c r="A38" s="14" t="s">
        <v>59</v>
      </c>
      <c r="B38" s="69" t="s">
        <v>83</v>
      </c>
      <c r="C38" s="69" t="s">
        <v>85</v>
      </c>
      <c r="D38" s="70">
        <v>151</v>
      </c>
      <c r="E38" s="70">
        <v>223</v>
      </c>
      <c r="F38" s="70">
        <v>302</v>
      </c>
      <c r="G38" s="71">
        <v>0.39</v>
      </c>
      <c r="H38" s="71">
        <v>23.6</v>
      </c>
      <c r="I38" s="71">
        <v>444</v>
      </c>
      <c r="J38" s="72">
        <v>60</v>
      </c>
      <c r="K38" s="78">
        <v>24.066510548378883</v>
      </c>
      <c r="L38" s="78">
        <v>-3.8702496229568742E-2</v>
      </c>
      <c r="M38" s="78">
        <v>7.0498293801930323E-4</v>
      </c>
      <c r="N38" s="78">
        <v>-4.3525260811776875E-6</v>
      </c>
      <c r="O38" s="78">
        <v>9.5791380379421595E-9</v>
      </c>
      <c r="P38" s="78">
        <v>-7.8281310209345736E-12</v>
      </c>
      <c r="Q38" s="78">
        <v>5.5339005308262731E-2</v>
      </c>
      <c r="R38" s="78">
        <v>-4.2615883213825072E-5</v>
      </c>
      <c r="S38" s="78">
        <v>1.9723489116040444E-6</v>
      </c>
      <c r="T38" s="78">
        <v>-6.1682894031709859E-9</v>
      </c>
      <c r="U38" s="78">
        <v>6.0994825466246899E-12</v>
      </c>
      <c r="V38" s="78">
        <v>1.2366549916246415E-15</v>
      </c>
      <c r="W38" s="80">
        <v>3.38</v>
      </c>
      <c r="X38" s="80">
        <v>5547</v>
      </c>
      <c r="Y38" s="80">
        <v>5547</v>
      </c>
      <c r="Z38" s="79">
        <v>0.67</v>
      </c>
      <c r="AA38" s="80">
        <v>193</v>
      </c>
      <c r="AB38" s="80">
        <v>217</v>
      </c>
      <c r="AC38" s="81">
        <v>97</v>
      </c>
      <c r="AD38" s="81">
        <v>200</v>
      </c>
      <c r="AE38" s="81"/>
      <c r="AF38" s="80">
        <v>7.1</v>
      </c>
      <c r="AG38" s="85"/>
      <c r="AH38" s="81"/>
      <c r="AI38" s="86"/>
      <c r="AJ38" s="86"/>
    </row>
    <row r="39" spans="1:36" s="28" customFormat="1" x14ac:dyDescent="0.25">
      <c r="A39" s="14" t="s">
        <v>59</v>
      </c>
      <c r="B39" s="69" t="s">
        <v>83</v>
      </c>
      <c r="C39" s="69" t="s">
        <v>224</v>
      </c>
      <c r="D39" s="70">
        <v>266</v>
      </c>
      <c r="E39" s="70">
        <v>373</v>
      </c>
      <c r="F39" s="70">
        <v>605</v>
      </c>
      <c r="G39" s="71">
        <v>0.54</v>
      </c>
      <c r="H39" s="71">
        <v>20.399999999999999</v>
      </c>
      <c r="I39" s="71">
        <v>983</v>
      </c>
      <c r="J39" s="72">
        <v>60</v>
      </c>
      <c r="K39" s="78">
        <v>21.310081625928667</v>
      </c>
      <c r="L39" s="78">
        <v>-1.2740230458837895E-2</v>
      </c>
      <c r="M39" s="78">
        <v>5.5959470099081974E-5</v>
      </c>
      <c r="N39" s="78">
        <v>-5.9128451589604395E-8</v>
      </c>
      <c r="O39" s="78">
        <v>-9.2575466597064987E-11</v>
      </c>
      <c r="P39" s="78">
        <v>8.7044889418049211E-14</v>
      </c>
      <c r="Q39" s="78">
        <v>7.6869426437289834E-2</v>
      </c>
      <c r="R39" s="78">
        <v>-1.2333490199156115E-4</v>
      </c>
      <c r="S39" s="78">
        <v>1.82778031018358E-6</v>
      </c>
      <c r="T39" s="78">
        <v>-5.0886454270149326E-9</v>
      </c>
      <c r="U39" s="78">
        <v>5.755576822826863E-12</v>
      </c>
      <c r="V39" s="78">
        <v>-2.2431104310182137E-15</v>
      </c>
      <c r="W39" s="80">
        <v>3.38</v>
      </c>
      <c r="X39" s="80">
        <v>5547</v>
      </c>
      <c r="Y39" s="80">
        <v>5547</v>
      </c>
      <c r="Z39" s="79">
        <v>0.67</v>
      </c>
      <c r="AA39" s="80">
        <v>193</v>
      </c>
      <c r="AB39" s="80">
        <v>217</v>
      </c>
      <c r="AC39" s="81">
        <v>96</v>
      </c>
      <c r="AD39" s="81">
        <v>198</v>
      </c>
      <c r="AE39" s="81"/>
      <c r="AF39" s="80">
        <v>7.9</v>
      </c>
      <c r="AG39" s="85"/>
      <c r="AH39" s="81"/>
      <c r="AI39" s="86"/>
      <c r="AJ39" s="86"/>
    </row>
    <row r="40" spans="1:36" s="28" customFormat="1" x14ac:dyDescent="0.25">
      <c r="A40" s="14" t="s">
        <v>59</v>
      </c>
      <c r="B40" s="69" t="s">
        <v>83</v>
      </c>
      <c r="C40" s="69" t="s">
        <v>86</v>
      </c>
      <c r="D40" s="70">
        <v>453</v>
      </c>
      <c r="E40" s="70">
        <v>596</v>
      </c>
      <c r="F40" s="70">
        <v>755</v>
      </c>
      <c r="G40" s="71">
        <v>0.62</v>
      </c>
      <c r="H40" s="71">
        <v>19</v>
      </c>
      <c r="I40" s="71">
        <v>998</v>
      </c>
      <c r="J40" s="72">
        <v>60</v>
      </c>
      <c r="K40" s="78">
        <v>20.322301774866766</v>
      </c>
      <c r="L40" s="78">
        <v>-5.2782162509656299E-3</v>
      </c>
      <c r="M40" s="78">
        <v>-2.0470394491211052E-5</v>
      </c>
      <c r="N40" s="78">
        <v>1.6955079326925319E-7</v>
      </c>
      <c r="O40" s="78">
        <v>-3.1741914976012348E-10</v>
      </c>
      <c r="P40" s="78">
        <v>1.5398473580258787E-13</v>
      </c>
      <c r="Q40" s="78">
        <v>7.8993540057547773E-2</v>
      </c>
      <c r="R40" s="78">
        <v>-2.9486111216846525E-5</v>
      </c>
      <c r="S40" s="78">
        <v>1.1418464889845596E-6</v>
      </c>
      <c r="T40" s="78">
        <v>-3.1682563649327116E-9</v>
      </c>
      <c r="U40" s="78">
        <v>3.2750968070510602E-12</v>
      </c>
      <c r="V40" s="78">
        <v>-1.1512342103093234E-15</v>
      </c>
      <c r="W40" s="80">
        <v>3.38</v>
      </c>
      <c r="X40" s="80">
        <v>5547</v>
      </c>
      <c r="Y40" s="80">
        <v>5547</v>
      </c>
      <c r="Z40" s="79">
        <v>0.67</v>
      </c>
      <c r="AA40" s="80">
        <v>193</v>
      </c>
      <c r="AB40" s="80">
        <v>217</v>
      </c>
      <c r="AC40" s="81">
        <v>93</v>
      </c>
      <c r="AD40" s="81">
        <v>193</v>
      </c>
      <c r="AE40" s="81"/>
      <c r="AF40" s="80">
        <v>7.3</v>
      </c>
      <c r="AG40" s="85"/>
      <c r="AH40" s="81"/>
      <c r="AI40" s="86"/>
      <c r="AJ40" s="86"/>
    </row>
    <row r="41" spans="1:36" s="28" customFormat="1" x14ac:dyDescent="0.25">
      <c r="A41" s="14" t="s">
        <v>59</v>
      </c>
      <c r="B41" s="69" t="s">
        <v>83</v>
      </c>
      <c r="C41" s="69" t="s">
        <v>87</v>
      </c>
      <c r="D41" s="70">
        <v>1134</v>
      </c>
      <c r="E41" s="70">
        <v>1492</v>
      </c>
      <c r="F41" s="70">
        <v>1885</v>
      </c>
      <c r="G41" s="71">
        <v>0.61</v>
      </c>
      <c r="H41" s="71">
        <v>19.100000000000001</v>
      </c>
      <c r="I41" s="71">
        <v>2640</v>
      </c>
      <c r="J41" s="72">
        <v>60</v>
      </c>
      <c r="K41" s="78">
        <v>19.290344659254181</v>
      </c>
      <c r="L41" s="78">
        <v>-3.8970568994560516E-3</v>
      </c>
      <c r="M41" s="78">
        <v>2.1939927513734089E-5</v>
      </c>
      <c r="N41" s="78">
        <v>-2.9393593428465033E-8</v>
      </c>
      <c r="O41" s="78">
        <v>1.4114314389170317E-11</v>
      </c>
      <c r="P41" s="78">
        <v>-2.3909546041394019E-15</v>
      </c>
      <c r="Q41" s="78">
        <v>0.22455381902072863</v>
      </c>
      <c r="R41" s="78">
        <v>2.159890566700924E-4</v>
      </c>
      <c r="S41" s="78">
        <v>-1.2994586285866408E-7</v>
      </c>
      <c r="T41" s="78">
        <v>4.3681350906095829E-11</v>
      </c>
      <c r="U41" s="78">
        <v>-1.3011208586529332E-14</v>
      </c>
      <c r="V41" s="78">
        <v>2.2334505778098431E-18</v>
      </c>
      <c r="W41" s="80">
        <v>3.38</v>
      </c>
      <c r="X41" s="80">
        <v>5547</v>
      </c>
      <c r="Y41" s="80">
        <v>5547</v>
      </c>
      <c r="Z41" s="79">
        <v>0.67</v>
      </c>
      <c r="AA41" s="80">
        <v>193</v>
      </c>
      <c r="AB41" s="80">
        <v>217</v>
      </c>
      <c r="AC41" s="81">
        <v>58</v>
      </c>
      <c r="AD41" s="81">
        <v>121</v>
      </c>
      <c r="AE41" s="81"/>
      <c r="AF41" s="80">
        <v>12.5</v>
      </c>
      <c r="AG41" s="85"/>
      <c r="AH41" s="81"/>
      <c r="AI41" s="86"/>
      <c r="AJ41" s="86"/>
    </row>
    <row r="42" spans="1:36" s="28" customFormat="1" x14ac:dyDescent="0.25">
      <c r="A42" s="14" t="s">
        <v>59</v>
      </c>
      <c r="B42" s="69" t="s">
        <v>64</v>
      </c>
      <c r="C42" s="69" t="s">
        <v>225</v>
      </c>
      <c r="D42" s="70">
        <v>76</v>
      </c>
      <c r="E42" s="70">
        <v>112</v>
      </c>
      <c r="F42" s="70">
        <v>151</v>
      </c>
      <c r="G42" s="71">
        <v>0.33</v>
      </c>
      <c r="H42" s="71">
        <v>29</v>
      </c>
      <c r="I42" s="71">
        <v>249</v>
      </c>
      <c r="J42" s="72">
        <v>60</v>
      </c>
      <c r="K42" s="78">
        <v>31.752444080721773</v>
      </c>
      <c r="L42" s="78">
        <v>-2.340251287263255E-2</v>
      </c>
      <c r="M42" s="78">
        <v>-1.6312997946519859E-4</v>
      </c>
      <c r="N42" s="78">
        <v>5.1529491191891897E-7</v>
      </c>
      <c r="O42" s="78">
        <v>-1.0988290056019937E-8</v>
      </c>
      <c r="P42" s="78">
        <v>2.1550368311554255E-11</v>
      </c>
      <c r="Q42" s="78">
        <v>7.4098266177354141E-2</v>
      </c>
      <c r="R42" s="78">
        <v>-1.5538628449956364E-4</v>
      </c>
      <c r="S42" s="78">
        <v>1.1588191495588348E-6</v>
      </c>
      <c r="T42" s="78">
        <v>1.1834655410979034E-9</v>
      </c>
      <c r="U42" s="78">
        <v>-9.3648716335794389E-12</v>
      </c>
      <c r="V42" s="78">
        <v>2.4322797245582653E-15</v>
      </c>
      <c r="W42" s="80">
        <v>3.62</v>
      </c>
      <c r="X42" s="80">
        <v>5547</v>
      </c>
      <c r="Y42" s="80">
        <v>5547</v>
      </c>
      <c r="Z42" s="79">
        <v>0.55000000000000004</v>
      </c>
      <c r="AA42" s="80">
        <v>105</v>
      </c>
      <c r="AB42" s="80">
        <v>121</v>
      </c>
      <c r="AC42" s="81">
        <v>100</v>
      </c>
      <c r="AD42" s="81">
        <v>215</v>
      </c>
      <c r="AE42" s="81"/>
      <c r="AF42" s="80">
        <v>9.3000000000000007</v>
      </c>
      <c r="AG42" s="85"/>
      <c r="AH42" s="81"/>
      <c r="AI42" s="86"/>
      <c r="AJ42" s="86"/>
    </row>
    <row r="43" spans="1:36" s="28" customFormat="1" x14ac:dyDescent="0.25">
      <c r="A43" s="14" t="s">
        <v>59</v>
      </c>
      <c r="B43" s="69" t="s">
        <v>64</v>
      </c>
      <c r="C43" s="69" t="s">
        <v>88</v>
      </c>
      <c r="D43" s="70">
        <v>113</v>
      </c>
      <c r="E43" s="70">
        <v>149</v>
      </c>
      <c r="F43" s="70">
        <v>189</v>
      </c>
      <c r="G43" s="71">
        <v>0.33</v>
      </c>
      <c r="H43" s="71">
        <v>26.2</v>
      </c>
      <c r="I43" s="71">
        <v>286</v>
      </c>
      <c r="J43" s="72">
        <v>60</v>
      </c>
      <c r="K43" s="78">
        <v>33.611385319881862</v>
      </c>
      <c r="L43" s="78">
        <v>-2.4008070043851099E-2</v>
      </c>
      <c r="M43" s="78">
        <v>-4.1704049706439402E-4</v>
      </c>
      <c r="N43" s="78">
        <v>2.5254712173263925E-7</v>
      </c>
      <c r="O43" s="78">
        <v>2.3041800547064768E-9</v>
      </c>
      <c r="P43" s="78">
        <v>-7.198276635359536E-12</v>
      </c>
      <c r="Q43" s="78">
        <v>6.9440125401387914E-2</v>
      </c>
      <c r="R43" s="78">
        <v>-6.1360792627157236E-5</v>
      </c>
      <c r="S43" s="78">
        <v>-3.2367462762832167E-7</v>
      </c>
      <c r="T43" s="78">
        <v>1.3411814586307726E-8</v>
      </c>
      <c r="U43" s="78">
        <v>-6.0926260821425299E-11</v>
      </c>
      <c r="V43" s="78">
        <v>9.0082491800834696E-14</v>
      </c>
      <c r="W43" s="80">
        <v>3.62</v>
      </c>
      <c r="X43" s="80">
        <v>5547</v>
      </c>
      <c r="Y43" s="80">
        <v>5547</v>
      </c>
      <c r="Z43" s="79">
        <v>0.55000000000000004</v>
      </c>
      <c r="AA43" s="80">
        <v>105</v>
      </c>
      <c r="AB43" s="80">
        <v>121</v>
      </c>
      <c r="AC43" s="81">
        <v>100</v>
      </c>
      <c r="AD43" s="81">
        <v>215</v>
      </c>
      <c r="AE43" s="81"/>
      <c r="AF43" s="80">
        <v>7.8</v>
      </c>
      <c r="AG43" s="85"/>
      <c r="AH43" s="81"/>
      <c r="AI43" s="86"/>
      <c r="AJ43" s="86"/>
    </row>
    <row r="44" spans="1:36" s="28" customFormat="1" x14ac:dyDescent="0.25">
      <c r="A44" s="14" t="s">
        <v>59</v>
      </c>
      <c r="B44" s="69" t="s">
        <v>64</v>
      </c>
      <c r="C44" s="69" t="s">
        <v>89</v>
      </c>
      <c r="D44" s="70">
        <v>75</v>
      </c>
      <c r="E44" s="70">
        <v>149</v>
      </c>
      <c r="F44" s="70">
        <v>189</v>
      </c>
      <c r="G44" s="71">
        <v>0.35</v>
      </c>
      <c r="H44" s="71">
        <v>20.399999999999999</v>
      </c>
      <c r="I44" s="71">
        <v>282</v>
      </c>
      <c r="J44" s="72">
        <v>60</v>
      </c>
      <c r="K44" s="78">
        <v>20.744174358295016</v>
      </c>
      <c r="L44" s="78">
        <v>2.922928363097127E-2</v>
      </c>
      <c r="M44" s="78">
        <v>-5.8303292769206763E-4</v>
      </c>
      <c r="N44" s="78">
        <v>2.5338728016549156E-6</v>
      </c>
      <c r="O44" s="78">
        <v>-9.3247779151377968E-9</v>
      </c>
      <c r="P44" s="78">
        <v>1.1944049895093714E-11</v>
      </c>
      <c r="Q44" s="78">
        <v>5.1420370816580289E-2</v>
      </c>
      <c r="R44" s="78">
        <v>-6.8690254627902199E-5</v>
      </c>
      <c r="S44" s="78">
        <v>1.3248866172622042E-6</v>
      </c>
      <c r="T44" s="78">
        <v>-8.1804381728308956E-9</v>
      </c>
      <c r="U44" s="78">
        <v>1.9094472005202958E-11</v>
      </c>
      <c r="V44" s="78">
        <v>3.4164485267947096E-16</v>
      </c>
      <c r="W44" s="80">
        <v>3.62</v>
      </c>
      <c r="X44" s="80">
        <v>5547</v>
      </c>
      <c r="Y44" s="80">
        <v>5547</v>
      </c>
      <c r="Z44" s="80">
        <v>0.5</v>
      </c>
      <c r="AA44" s="80">
        <v>87</v>
      </c>
      <c r="AB44" s="80">
        <v>100</v>
      </c>
      <c r="AC44" s="81">
        <v>141</v>
      </c>
      <c r="AD44" s="81">
        <v>290</v>
      </c>
      <c r="AE44" s="81"/>
      <c r="AF44" s="80"/>
      <c r="AG44" s="85"/>
      <c r="AH44" s="81"/>
      <c r="AI44" s="86"/>
      <c r="AJ44" s="86"/>
    </row>
    <row r="45" spans="1:36" s="28" customFormat="1" x14ac:dyDescent="0.25">
      <c r="A45" s="14" t="s">
        <v>59</v>
      </c>
      <c r="B45" s="69" t="s">
        <v>64</v>
      </c>
      <c r="C45" s="69" t="s">
        <v>90</v>
      </c>
      <c r="D45" s="70">
        <v>136</v>
      </c>
      <c r="E45" s="70">
        <v>189</v>
      </c>
      <c r="F45" s="70">
        <v>264</v>
      </c>
      <c r="G45" s="71">
        <v>0.32</v>
      </c>
      <c r="H45" s="71">
        <v>32</v>
      </c>
      <c r="I45" s="71">
        <v>362</v>
      </c>
      <c r="J45" s="72">
        <v>60</v>
      </c>
      <c r="K45" s="78">
        <v>32.13439886129872</v>
      </c>
      <c r="L45" s="78">
        <v>3.7948226329627605E-2</v>
      </c>
      <c r="M45" s="78">
        <v>-1.4368572287230066E-3</v>
      </c>
      <c r="N45" s="78">
        <v>1.0246144839918969E-5</v>
      </c>
      <c r="O45" s="78">
        <v>-3.3504944681069199E-8</v>
      </c>
      <c r="P45" s="78">
        <v>3.7297810497795838E-11</v>
      </c>
      <c r="Q45" s="78">
        <v>7.7566296720833566E-2</v>
      </c>
      <c r="R45" s="78">
        <v>3.9519189448928529E-5</v>
      </c>
      <c r="S45" s="78">
        <v>-5.4987890056227225E-7</v>
      </c>
      <c r="T45" s="78">
        <v>4.7147564672609256E-9</v>
      </c>
      <c r="U45" s="78">
        <v>-8.4506141026152878E-12</v>
      </c>
      <c r="V45" s="78">
        <v>7.1686151447854292E-16</v>
      </c>
      <c r="W45" s="80">
        <v>3.62</v>
      </c>
      <c r="X45" s="80">
        <v>5547</v>
      </c>
      <c r="Y45" s="80">
        <v>5547</v>
      </c>
      <c r="Z45" s="80">
        <v>0.67</v>
      </c>
      <c r="AA45" s="80">
        <v>193</v>
      </c>
      <c r="AB45" s="80">
        <v>217</v>
      </c>
      <c r="AC45" s="81">
        <v>79</v>
      </c>
      <c r="AD45" s="81">
        <v>190</v>
      </c>
      <c r="AE45" s="81"/>
      <c r="AF45" s="80">
        <v>4.3</v>
      </c>
      <c r="AG45" s="85"/>
      <c r="AH45" s="81"/>
      <c r="AI45" s="86"/>
      <c r="AJ45" s="86"/>
    </row>
    <row r="46" spans="1:36" s="28" customFormat="1" x14ac:dyDescent="0.25">
      <c r="A46" s="14" t="s">
        <v>59</v>
      </c>
      <c r="B46" s="69" t="s">
        <v>64</v>
      </c>
      <c r="C46" s="69" t="s">
        <v>91</v>
      </c>
      <c r="D46" s="70">
        <v>151</v>
      </c>
      <c r="E46" s="70">
        <v>224</v>
      </c>
      <c r="F46" s="70">
        <v>339</v>
      </c>
      <c r="G46" s="71">
        <v>0.44</v>
      </c>
      <c r="H46" s="71">
        <v>25.5</v>
      </c>
      <c r="I46" s="71">
        <v>438</v>
      </c>
      <c r="J46" s="72">
        <v>60</v>
      </c>
      <c r="K46" s="78">
        <v>29.158297151697422</v>
      </c>
      <c r="L46" s="78">
        <v>-1.2555870268185283E-2</v>
      </c>
      <c r="M46" s="78">
        <v>-1.7094610296869233E-4</v>
      </c>
      <c r="N46" s="78">
        <v>1.3005538122241131E-6</v>
      </c>
      <c r="O46" s="78">
        <v>-5.1111725792737033E-9</v>
      </c>
      <c r="P46" s="78">
        <v>5.4556575350616783E-12</v>
      </c>
      <c r="Q46" s="78">
        <v>7.4117591058165233E-2</v>
      </c>
      <c r="R46" s="78">
        <v>-1.1856166817746393E-4</v>
      </c>
      <c r="S46" s="78">
        <v>4.69450109134866E-7</v>
      </c>
      <c r="T46" s="78">
        <v>5.078956815565878E-9</v>
      </c>
      <c r="U46" s="78">
        <v>5.078956815565878E-9</v>
      </c>
      <c r="V46" s="78">
        <v>2.7016520490592057E-14</v>
      </c>
      <c r="W46" s="80">
        <v>3.62</v>
      </c>
      <c r="X46" s="80">
        <v>5547</v>
      </c>
      <c r="Y46" s="80">
        <v>5547</v>
      </c>
      <c r="Z46" s="80">
        <v>0.67</v>
      </c>
      <c r="AA46" s="80">
        <v>193</v>
      </c>
      <c r="AB46" s="80">
        <v>217</v>
      </c>
      <c r="AC46" s="81">
        <v>79</v>
      </c>
      <c r="AD46" s="81">
        <v>190</v>
      </c>
      <c r="AE46" s="81"/>
      <c r="AF46" s="80">
        <v>5.8</v>
      </c>
      <c r="AG46" s="85"/>
      <c r="AH46" s="81"/>
      <c r="AI46" s="86"/>
      <c r="AJ46" s="86"/>
    </row>
    <row r="47" spans="1:36" s="28" customFormat="1" x14ac:dyDescent="0.25">
      <c r="A47" s="14" t="s">
        <v>59</v>
      </c>
      <c r="B47" s="69" t="s">
        <v>64</v>
      </c>
      <c r="C47" s="69" t="s">
        <v>92</v>
      </c>
      <c r="D47" s="70">
        <v>167</v>
      </c>
      <c r="E47" s="70">
        <v>261</v>
      </c>
      <c r="F47" s="70">
        <v>378</v>
      </c>
      <c r="G47" s="71">
        <v>0.45</v>
      </c>
      <c r="H47" s="71">
        <v>24.9</v>
      </c>
      <c r="I47" s="71">
        <v>513</v>
      </c>
      <c r="J47" s="72">
        <v>60</v>
      </c>
      <c r="K47" s="78">
        <v>28.262479684344619</v>
      </c>
      <c r="L47" s="78">
        <v>-2.2191091681090812E-2</v>
      </c>
      <c r="M47" s="78">
        <v>6.9890470751019217E-5</v>
      </c>
      <c r="N47" s="78">
        <v>-1.9272301405843071E-7</v>
      </c>
      <c r="O47" s="78">
        <v>-7.6853431507525505E-10</v>
      </c>
      <c r="P47" s="78">
        <v>1.2420510072687417E-12</v>
      </c>
      <c r="Q47" s="78">
        <v>8.8239235380524028E-2</v>
      </c>
      <c r="R47" s="78">
        <v>-3.6127505251991803E-5</v>
      </c>
      <c r="S47" s="78">
        <v>-1.3162055792304562E-7</v>
      </c>
      <c r="T47" s="78">
        <v>2.1759572430220023E-9</v>
      </c>
      <c r="U47" s="78">
        <v>-3.4410098919278167E-12</v>
      </c>
      <c r="V47" s="78">
        <v>9.9588733011272091E-16</v>
      </c>
      <c r="W47" s="80">
        <v>3.62</v>
      </c>
      <c r="X47" s="80">
        <v>5547</v>
      </c>
      <c r="Y47" s="80">
        <v>5547</v>
      </c>
      <c r="Z47" s="80">
        <v>0.67</v>
      </c>
      <c r="AA47" s="80">
        <v>193</v>
      </c>
      <c r="AB47" s="80">
        <v>217</v>
      </c>
      <c r="AC47" s="81">
        <v>79</v>
      </c>
      <c r="AD47" s="81">
        <v>190</v>
      </c>
      <c r="AE47" s="81"/>
      <c r="AF47" s="80">
        <v>6</v>
      </c>
      <c r="AG47" s="85"/>
      <c r="AH47" s="81"/>
      <c r="AI47" s="86"/>
      <c r="AJ47" s="86"/>
    </row>
    <row r="48" spans="1:36" s="28" customFormat="1" x14ac:dyDescent="0.25">
      <c r="A48" s="14" t="s">
        <v>59</v>
      </c>
      <c r="B48" s="69" t="s">
        <v>64</v>
      </c>
      <c r="C48" s="88" t="s">
        <v>93</v>
      </c>
      <c r="D48" s="70">
        <v>242</v>
      </c>
      <c r="E48" s="70">
        <v>336</v>
      </c>
      <c r="F48" s="70">
        <v>453</v>
      </c>
      <c r="G48" s="71">
        <v>0.47</v>
      </c>
      <c r="H48" s="71">
        <v>27.5</v>
      </c>
      <c r="I48" s="71">
        <v>650</v>
      </c>
      <c r="J48" s="72">
        <v>60</v>
      </c>
      <c r="K48" s="78">
        <v>30.222484524874041</v>
      </c>
      <c r="L48" s="78">
        <v>-1.4014529829473179E-2</v>
      </c>
      <c r="M48" s="78">
        <v>1.1896650732421564E-4</v>
      </c>
      <c r="N48" s="78">
        <v>-6.2771132702943794E-7</v>
      </c>
      <c r="O48" s="78">
        <v>8.6880081335574987E-10</v>
      </c>
      <c r="P48" s="78">
        <v>-4.5268531393757986E-13</v>
      </c>
      <c r="Q48" s="78">
        <v>0.10813055415294831</v>
      </c>
      <c r="R48" s="78">
        <v>-3.2027536767890488E-5</v>
      </c>
      <c r="S48" s="78">
        <v>4.8151405121737449E-7</v>
      </c>
      <c r="T48" s="78">
        <v>-7.7839852990577553E-10</v>
      </c>
      <c r="U48" s="78">
        <v>5.3539146520969418E-13</v>
      </c>
      <c r="V48" s="78">
        <v>6.1821163817320612E-17</v>
      </c>
      <c r="W48" s="80">
        <v>3.62</v>
      </c>
      <c r="X48" s="80">
        <v>5547</v>
      </c>
      <c r="Y48" s="80">
        <v>5547</v>
      </c>
      <c r="Z48" s="80">
        <v>0.67</v>
      </c>
      <c r="AA48" s="80">
        <v>161</v>
      </c>
      <c r="AB48" s="80">
        <v>181</v>
      </c>
      <c r="AC48" s="81">
        <v>96</v>
      </c>
      <c r="AD48" s="81">
        <v>198</v>
      </c>
      <c r="AE48" s="81"/>
      <c r="AF48" s="80">
        <v>5.9</v>
      </c>
      <c r="AG48" s="85"/>
      <c r="AH48" s="81"/>
      <c r="AI48" s="86"/>
      <c r="AJ48" s="86"/>
    </row>
    <row r="49" spans="1:36" s="28" customFormat="1" x14ac:dyDescent="0.25">
      <c r="A49" s="14" t="s">
        <v>59</v>
      </c>
      <c r="B49" s="69" t="s">
        <v>64</v>
      </c>
      <c r="C49" s="88" t="s">
        <v>94</v>
      </c>
      <c r="D49" s="70">
        <v>264</v>
      </c>
      <c r="E49" s="70">
        <v>373</v>
      </c>
      <c r="F49" s="70">
        <v>491</v>
      </c>
      <c r="G49" s="71">
        <v>0.48</v>
      </c>
      <c r="H49" s="71">
        <v>27.5</v>
      </c>
      <c r="I49" s="71">
        <v>739</v>
      </c>
      <c r="J49" s="72">
        <v>60</v>
      </c>
      <c r="K49" s="78">
        <v>30.865215100264141</v>
      </c>
      <c r="L49" s="78">
        <v>-2.0294236242330142E-2</v>
      </c>
      <c r="M49" s="78">
        <v>9.7924135981292246E-5</v>
      </c>
      <c r="N49" s="78">
        <v>-3.1068423433917887E-7</v>
      </c>
      <c r="O49" s="78">
        <v>1.8060664761465782E-10</v>
      </c>
      <c r="P49" s="78">
        <v>1.0107470034208139E-14</v>
      </c>
      <c r="Q49" s="78">
        <v>0.12958786168852451</v>
      </c>
      <c r="R49" s="78">
        <v>-3.1454345667381603E-4</v>
      </c>
      <c r="S49" s="78">
        <v>2.2946167628175795E-6</v>
      </c>
      <c r="T49" s="78">
        <v>-6.1421135339538859E-9</v>
      </c>
      <c r="U49" s="78">
        <v>8.0274250371826315E-12</v>
      </c>
      <c r="V49" s="78">
        <v>-4.040521155337385E-15</v>
      </c>
      <c r="W49" s="80">
        <v>3.62</v>
      </c>
      <c r="X49" s="80">
        <v>5547</v>
      </c>
      <c r="Y49" s="80">
        <v>5547</v>
      </c>
      <c r="Z49" s="80">
        <v>0.67</v>
      </c>
      <c r="AA49" s="80">
        <v>193</v>
      </c>
      <c r="AB49" s="80">
        <v>217</v>
      </c>
      <c r="AC49" s="81">
        <v>96</v>
      </c>
      <c r="AD49" s="81">
        <v>198</v>
      </c>
      <c r="AE49" s="81"/>
      <c r="AF49" s="80">
        <v>5.4</v>
      </c>
      <c r="AG49" s="85"/>
      <c r="AH49" s="81"/>
      <c r="AI49" s="86"/>
      <c r="AJ49" s="86"/>
    </row>
    <row r="50" spans="1:36" s="28" customFormat="1" x14ac:dyDescent="0.25">
      <c r="A50" s="14" t="s">
        <v>59</v>
      </c>
      <c r="B50" s="69" t="s">
        <v>64</v>
      </c>
      <c r="C50" s="69" t="s">
        <v>226</v>
      </c>
      <c r="D50" s="70">
        <v>304</v>
      </c>
      <c r="E50" s="70">
        <v>447</v>
      </c>
      <c r="F50" s="70">
        <v>566</v>
      </c>
      <c r="G50" s="71">
        <v>0.57999999999999996</v>
      </c>
      <c r="H50" s="71">
        <v>27.9</v>
      </c>
      <c r="I50" s="71">
        <v>786</v>
      </c>
      <c r="J50" s="72">
        <v>60</v>
      </c>
      <c r="K50" s="78">
        <v>28.679034864811229</v>
      </c>
      <c r="L50" s="78">
        <v>1.540966941603597E-2</v>
      </c>
      <c r="M50" s="78">
        <v>-1.4188562323783039E-4</v>
      </c>
      <c r="N50" s="78">
        <v>5.0539121154265753E-7</v>
      </c>
      <c r="O50" s="78">
        <v>-9.263329159411689E-10</v>
      </c>
      <c r="P50" s="78">
        <v>5.2122290339092335E-13</v>
      </c>
      <c r="Q50" s="78">
        <v>0.11369396904131403</v>
      </c>
      <c r="R50" s="78">
        <v>-2.7346736026660756E-4</v>
      </c>
      <c r="S50" s="78">
        <v>1.691626387804966E-6</v>
      </c>
      <c r="T50" s="78">
        <v>-2.9079029080047492E-9</v>
      </c>
      <c r="U50" s="78">
        <v>1.7483301788019046E-12</v>
      </c>
      <c r="V50" s="78">
        <v>-3.8538069004972728E-17</v>
      </c>
      <c r="W50" s="80">
        <v>3.62</v>
      </c>
      <c r="X50" s="80">
        <v>5547</v>
      </c>
      <c r="Y50" s="80">
        <v>5547</v>
      </c>
      <c r="Z50" s="80">
        <v>0.67</v>
      </c>
      <c r="AA50" s="80">
        <v>193</v>
      </c>
      <c r="AB50" s="80">
        <v>217</v>
      </c>
      <c r="AC50" s="81">
        <v>88</v>
      </c>
      <c r="AD50" s="81">
        <v>182</v>
      </c>
      <c r="AE50" s="81"/>
      <c r="AF50" s="80">
        <v>7.3</v>
      </c>
      <c r="AG50" s="85"/>
      <c r="AH50" s="81"/>
      <c r="AI50" s="86"/>
      <c r="AJ50" s="86"/>
    </row>
    <row r="51" spans="1:36" s="28" customFormat="1" x14ac:dyDescent="0.25">
      <c r="A51" s="14" t="s">
        <v>59</v>
      </c>
      <c r="B51" s="69" t="s">
        <v>64</v>
      </c>
      <c r="C51" s="69" t="s">
        <v>227</v>
      </c>
      <c r="D51" s="70">
        <v>453</v>
      </c>
      <c r="E51" s="70">
        <v>596</v>
      </c>
      <c r="F51" s="70">
        <v>792</v>
      </c>
      <c r="G51" s="71">
        <v>0.56999999999999995</v>
      </c>
      <c r="H51" s="71">
        <v>30.4</v>
      </c>
      <c r="I51" s="71">
        <v>1214</v>
      </c>
      <c r="J51" s="72">
        <v>60</v>
      </c>
      <c r="K51" s="78">
        <v>32.365687394049999</v>
      </c>
      <c r="L51" s="78">
        <v>-2.3885679188138925E-3</v>
      </c>
      <c r="M51" s="78">
        <v>3.9258902448350236E-5</v>
      </c>
      <c r="N51" s="78">
        <v>-1.4413711016043933E-7</v>
      </c>
      <c r="O51" s="78">
        <v>1.2257991782313679E-10</v>
      </c>
      <c r="P51" s="78">
        <v>-3.5619391056841972E-14</v>
      </c>
      <c r="Q51" s="78">
        <v>0.17596940843027858</v>
      </c>
      <c r="R51" s="78">
        <v>5.5462894595692133E-5</v>
      </c>
      <c r="S51" s="78">
        <v>-8.9911089200952871E-8</v>
      </c>
      <c r="T51" s="78">
        <v>2.1175044795759205E-10</v>
      </c>
      <c r="U51" s="78">
        <v>-9.3911626473267064E-14</v>
      </c>
      <c r="V51" s="78">
        <v>3.0523726883222509E-18</v>
      </c>
      <c r="W51" s="80">
        <v>3.62</v>
      </c>
      <c r="X51" s="80">
        <v>5547</v>
      </c>
      <c r="Y51" s="80">
        <v>5547</v>
      </c>
      <c r="Z51" s="80">
        <v>0.67</v>
      </c>
      <c r="AA51" s="80">
        <v>193</v>
      </c>
      <c r="AB51" s="80">
        <v>217</v>
      </c>
      <c r="AC51" s="81">
        <v>81</v>
      </c>
      <c r="AD51" s="81">
        <v>193</v>
      </c>
      <c r="AE51" s="81"/>
      <c r="AF51" s="80">
        <v>10.199999999999999</v>
      </c>
      <c r="AG51" s="85"/>
      <c r="AH51" s="81"/>
      <c r="AI51" s="86"/>
      <c r="AJ51" s="86"/>
    </row>
    <row r="52" spans="1:36" s="28" customFormat="1" x14ac:dyDescent="0.25">
      <c r="A52" s="14" t="s">
        <v>59</v>
      </c>
      <c r="B52" s="69" t="s">
        <v>64</v>
      </c>
      <c r="C52" s="69" t="s">
        <v>95</v>
      </c>
      <c r="D52" s="70">
        <v>605</v>
      </c>
      <c r="E52" s="70">
        <v>746</v>
      </c>
      <c r="F52" s="70">
        <v>905</v>
      </c>
      <c r="G52" s="71">
        <v>0.59</v>
      </c>
      <c r="H52" s="71">
        <v>30.5</v>
      </c>
      <c r="I52" s="71">
        <v>1386</v>
      </c>
      <c r="J52" s="72">
        <v>60</v>
      </c>
      <c r="K52" s="78">
        <v>32.41151538194444</v>
      </c>
      <c r="L52" s="78">
        <v>-2.8108366761486411E-3</v>
      </c>
      <c r="M52" s="78">
        <v>2.6618075615449901E-5</v>
      </c>
      <c r="N52" s="78">
        <v>-5.557315753457247E-8</v>
      </c>
      <c r="O52" s="78">
        <v>1.5655547416046608E-11</v>
      </c>
      <c r="P52" s="78">
        <v>2.0930051240002191E-15</v>
      </c>
      <c r="Q52" s="78">
        <v>0.20607809764695936</v>
      </c>
      <c r="R52" s="78">
        <v>7.1632102970621946E-5</v>
      </c>
      <c r="S52" s="78">
        <v>-4.5598986178600661E-8</v>
      </c>
      <c r="T52" s="78">
        <v>5.6975026997228614E-11</v>
      </c>
      <c r="U52" s="78">
        <v>-4.446964094834075E-15</v>
      </c>
      <c r="V52" s="78">
        <v>1.2879218871470043E-18</v>
      </c>
      <c r="W52" s="80">
        <v>3.62</v>
      </c>
      <c r="X52" s="80">
        <v>5547</v>
      </c>
      <c r="Y52" s="80">
        <v>5547</v>
      </c>
      <c r="Z52" s="80">
        <v>0.67</v>
      </c>
      <c r="AA52" s="80">
        <v>193</v>
      </c>
      <c r="AB52" s="80">
        <v>217</v>
      </c>
      <c r="AC52" s="81">
        <v>79</v>
      </c>
      <c r="AD52" s="81">
        <v>187</v>
      </c>
      <c r="AE52" s="81"/>
      <c r="AF52" s="80">
        <v>6.5</v>
      </c>
      <c r="AG52" s="85"/>
      <c r="AH52" s="81"/>
      <c r="AI52" s="86"/>
      <c r="AJ52" s="86"/>
    </row>
    <row r="53" spans="1:36" s="28" customFormat="1" x14ac:dyDescent="0.25">
      <c r="A53" s="14" t="s">
        <v>59</v>
      </c>
      <c r="B53" s="69" t="s">
        <v>64</v>
      </c>
      <c r="C53" s="69" t="s">
        <v>96</v>
      </c>
      <c r="D53" s="70">
        <v>605</v>
      </c>
      <c r="E53" s="70">
        <v>933</v>
      </c>
      <c r="F53" s="70">
        <v>1209</v>
      </c>
      <c r="G53" s="71">
        <v>0.55000000000000004</v>
      </c>
      <c r="H53" s="71">
        <v>31.4</v>
      </c>
      <c r="I53" s="71">
        <v>1732</v>
      </c>
      <c r="J53" s="72">
        <v>60</v>
      </c>
      <c r="K53" s="78">
        <v>31.907099528724967</v>
      </c>
      <c r="L53" s="78">
        <v>-8.3578433035831658E-3</v>
      </c>
      <c r="M53" s="78">
        <v>4.2796995780054213E-5</v>
      </c>
      <c r="N53" s="78">
        <v>-6.5474843422355398E-8</v>
      </c>
      <c r="O53" s="78">
        <v>2.8823739331410656E-11</v>
      </c>
      <c r="P53" s="78">
        <v>-4.1578861594373987E-15</v>
      </c>
      <c r="Q53" s="78">
        <v>0.24545233978072128</v>
      </c>
      <c r="R53" s="78">
        <v>1.086501701208192E-4</v>
      </c>
      <c r="S53" s="78">
        <v>-1.2677482801986415E-8</v>
      </c>
      <c r="T53" s="78">
        <v>7.2199771882501645E-12</v>
      </c>
      <c r="U53" s="78">
        <v>9.772018624747206E-16</v>
      </c>
      <c r="V53" s="78">
        <v>1.3333665236352124E-19</v>
      </c>
      <c r="W53" s="80">
        <v>3.62</v>
      </c>
      <c r="X53" s="80">
        <v>5547</v>
      </c>
      <c r="Y53" s="80">
        <v>5547</v>
      </c>
      <c r="Z53" s="80">
        <v>0.67</v>
      </c>
      <c r="AA53" s="80">
        <v>193</v>
      </c>
      <c r="AB53" s="80">
        <v>217</v>
      </c>
      <c r="AC53" s="81">
        <v>71</v>
      </c>
      <c r="AD53" s="81">
        <v>167</v>
      </c>
      <c r="AE53" s="81"/>
      <c r="AF53" s="80">
        <v>8.1</v>
      </c>
      <c r="AG53" s="85"/>
      <c r="AH53" s="81"/>
      <c r="AI53" s="86"/>
      <c r="AJ53" s="86"/>
    </row>
    <row r="54" spans="1:36" s="28" customFormat="1" x14ac:dyDescent="0.25">
      <c r="A54" s="14" t="s">
        <v>59</v>
      </c>
      <c r="B54" s="69" t="s">
        <v>64</v>
      </c>
      <c r="C54" s="69" t="s">
        <v>228</v>
      </c>
      <c r="D54" s="70">
        <v>1060</v>
      </c>
      <c r="E54" s="70">
        <v>1491</v>
      </c>
      <c r="F54" s="70">
        <v>1889</v>
      </c>
      <c r="G54" s="71">
        <v>0.5</v>
      </c>
      <c r="H54" s="71">
        <v>25.4</v>
      </c>
      <c r="I54" s="71">
        <v>2186</v>
      </c>
      <c r="J54" s="72">
        <v>60</v>
      </c>
      <c r="K54" s="78">
        <v>27.167806679513333</v>
      </c>
      <c r="L54" s="78">
        <v>-3.0284804480596123E-4</v>
      </c>
      <c r="M54" s="78">
        <v>4.2793971934763742E-6</v>
      </c>
      <c r="N54" s="78">
        <v>-9.3387516151988022E-9</v>
      </c>
      <c r="O54" s="78">
        <v>5.7099507452188689E-12</v>
      </c>
      <c r="P54" s="78">
        <v>-1.5139692933734126E-15</v>
      </c>
      <c r="Q54" s="78">
        <v>0.28959869788074855</v>
      </c>
      <c r="R54" s="78">
        <v>2.4716919208198964E-6</v>
      </c>
      <c r="S54" s="78">
        <v>4.8666113074101212E-7</v>
      </c>
      <c r="T54" s="78">
        <v>-5.7004920891782184E-10</v>
      </c>
      <c r="U54" s="78">
        <v>2.7870614950385256E-13</v>
      </c>
      <c r="V54" s="78">
        <v>-5.3330767292533889E-17</v>
      </c>
      <c r="W54" s="80">
        <v>3.62</v>
      </c>
      <c r="X54" s="80">
        <v>5547</v>
      </c>
      <c r="Y54" s="80">
        <v>5547</v>
      </c>
      <c r="Z54" s="80">
        <v>0.67</v>
      </c>
      <c r="AA54" s="80">
        <v>193</v>
      </c>
      <c r="AB54" s="80">
        <v>217</v>
      </c>
      <c r="AC54" s="81">
        <v>73</v>
      </c>
      <c r="AD54" s="81">
        <v>152</v>
      </c>
      <c r="AE54" s="81"/>
      <c r="AF54" s="80"/>
      <c r="AG54" s="85"/>
      <c r="AH54" s="81"/>
      <c r="AI54" s="86"/>
      <c r="AJ54" s="86"/>
    </row>
    <row r="55" spans="1:36" s="28" customFormat="1" x14ac:dyDescent="0.25">
      <c r="A55" s="14" t="s">
        <v>59</v>
      </c>
      <c r="B55" s="69" t="s">
        <v>64</v>
      </c>
      <c r="C55" s="69" t="s">
        <v>229</v>
      </c>
      <c r="D55" s="70">
        <v>2647</v>
      </c>
      <c r="E55" s="70">
        <v>3726</v>
      </c>
      <c r="F55" s="70">
        <v>4529</v>
      </c>
      <c r="G55" s="71">
        <v>0.66</v>
      </c>
      <c r="H55" s="71">
        <v>17.8</v>
      </c>
      <c r="I55" s="71">
        <v>6415</v>
      </c>
      <c r="J55" s="72">
        <v>60</v>
      </c>
      <c r="K55" s="78">
        <v>18.452297712220957</v>
      </c>
      <c r="L55" s="78">
        <v>4.3263968698079314E-5</v>
      </c>
      <c r="M55" s="78">
        <v>1.3949192190878495E-6</v>
      </c>
      <c r="N55" s="78">
        <v>-7.9254987889758993E-10</v>
      </c>
      <c r="O55" s="78">
        <v>1.3416917482369476E-13</v>
      </c>
      <c r="P55" s="78">
        <v>-8.657687717006787E-18</v>
      </c>
      <c r="Q55" s="78">
        <v>0.5318806102668685</v>
      </c>
      <c r="R55" s="78">
        <v>-1.2078832699618853E-5</v>
      </c>
      <c r="S55" s="78">
        <v>9.011773760807173E-8</v>
      </c>
      <c r="T55" s="78">
        <v>-3.2728782294163392E-11</v>
      </c>
      <c r="U55" s="78">
        <v>3.9196346529959786E-15</v>
      </c>
      <c r="V55" s="78">
        <v>-1.3806080618235958E-19</v>
      </c>
      <c r="W55" s="80">
        <v>3.62</v>
      </c>
      <c r="X55" s="80">
        <v>5547</v>
      </c>
      <c r="Y55" s="80">
        <v>5547</v>
      </c>
      <c r="Z55" s="80">
        <v>0.79</v>
      </c>
      <c r="AA55" s="80">
        <v>322</v>
      </c>
      <c r="AB55" s="80">
        <v>346</v>
      </c>
      <c r="AC55" s="81">
        <v>23</v>
      </c>
      <c r="AD55" s="81">
        <v>77</v>
      </c>
      <c r="AE55" s="81"/>
      <c r="AF55" s="80">
        <v>19</v>
      </c>
      <c r="AG55" s="85"/>
      <c r="AH55" s="81"/>
      <c r="AI55" s="86"/>
      <c r="AJ55" s="86"/>
    </row>
    <row r="56" spans="1:36" s="28" customFormat="1" x14ac:dyDescent="0.25">
      <c r="A56" s="14" t="s">
        <v>59</v>
      </c>
      <c r="B56" s="69" t="s">
        <v>97</v>
      </c>
      <c r="C56" s="69" t="s">
        <v>98</v>
      </c>
      <c r="D56" s="70">
        <v>136</v>
      </c>
      <c r="E56" s="70">
        <v>187</v>
      </c>
      <c r="F56" s="70">
        <v>265</v>
      </c>
      <c r="G56" s="71">
        <v>0.36</v>
      </c>
      <c r="H56" s="71">
        <v>38.799999999999997</v>
      </c>
      <c r="I56" s="71">
        <v>437</v>
      </c>
      <c r="J56" s="72">
        <v>60</v>
      </c>
      <c r="K56" s="78">
        <v>41.598456238240509</v>
      </c>
      <c r="L56" s="78">
        <v>5.9437857774483731E-3</v>
      </c>
      <c r="M56" s="78">
        <v>-1.139543729713754E-4</v>
      </c>
      <c r="N56" s="78">
        <v>-9.7535206467219093E-7</v>
      </c>
      <c r="O56" s="78">
        <v>3.418660351473547E-9</v>
      </c>
      <c r="P56" s="78">
        <v>-4.1086049345241617E-12</v>
      </c>
      <c r="Q56" s="78">
        <v>0.13190931968793976</v>
      </c>
      <c r="R56" s="78">
        <v>4.9480882914918586E-5</v>
      </c>
      <c r="S56" s="78">
        <v>3.5449343940551642E-7</v>
      </c>
      <c r="T56" s="78">
        <v>-9.8586525035172688E-10</v>
      </c>
      <c r="U56" s="78">
        <v>1.2980368472621438E-12</v>
      </c>
      <c r="V56" s="78">
        <v>1.8217200964509051E-16</v>
      </c>
      <c r="W56" s="80">
        <v>4.0599999999999996</v>
      </c>
      <c r="X56" s="80">
        <v>5547</v>
      </c>
      <c r="Y56" s="80">
        <v>5547</v>
      </c>
      <c r="Z56" s="80">
        <v>0.67</v>
      </c>
      <c r="AA56" s="80">
        <v>193</v>
      </c>
      <c r="AB56" s="80">
        <v>217</v>
      </c>
      <c r="AC56" s="81">
        <v>86</v>
      </c>
      <c r="AD56" s="81">
        <v>201</v>
      </c>
      <c r="AE56" s="81"/>
      <c r="AF56" s="80">
        <v>16.399999999999999</v>
      </c>
      <c r="AG56" s="85"/>
      <c r="AH56" s="81"/>
      <c r="AI56" s="86"/>
      <c r="AJ56" s="86"/>
    </row>
    <row r="57" spans="1:36" s="28" customFormat="1" x14ac:dyDescent="0.25">
      <c r="A57" s="14" t="s">
        <v>59</v>
      </c>
      <c r="B57" s="69" t="s">
        <v>97</v>
      </c>
      <c r="C57" s="69" t="s">
        <v>99</v>
      </c>
      <c r="D57" s="70">
        <v>151</v>
      </c>
      <c r="E57" s="70">
        <v>254</v>
      </c>
      <c r="F57" s="70">
        <v>340</v>
      </c>
      <c r="G57" s="71">
        <v>0.38</v>
      </c>
      <c r="H57" s="71">
        <v>38.799999999999997</v>
      </c>
      <c r="I57" s="71">
        <v>445</v>
      </c>
      <c r="J57" s="72">
        <v>60</v>
      </c>
      <c r="K57" s="78">
        <v>41.046301515940044</v>
      </c>
      <c r="L57" s="78">
        <v>3.627089761660153E-2</v>
      </c>
      <c r="M57" s="78">
        <v>-5.7666405362342618E-4</v>
      </c>
      <c r="N57" s="78">
        <v>1.9831732546675311E-6</v>
      </c>
      <c r="O57" s="78">
        <v>-4.2255917817065954E-9</v>
      </c>
      <c r="P57" s="78">
        <v>2.8569696792964596E-12</v>
      </c>
      <c r="Q57" s="78">
        <v>0.13360447665894182</v>
      </c>
      <c r="R57" s="78">
        <v>4.6132868392215881E-5</v>
      </c>
      <c r="S57" s="78">
        <v>-3.872125309745067E-7</v>
      </c>
      <c r="T57" s="78">
        <v>2.6687807050022753E-9</v>
      </c>
      <c r="U57" s="78">
        <v>-2.7394376276620968E-12</v>
      </c>
      <c r="V57" s="78">
        <v>-8.8034081540131136E-16</v>
      </c>
      <c r="W57" s="80">
        <v>4.0599999999999996</v>
      </c>
      <c r="X57" s="80">
        <v>5547</v>
      </c>
      <c r="Y57" s="80">
        <v>5547</v>
      </c>
      <c r="Z57" s="80">
        <v>0.67</v>
      </c>
      <c r="AA57" s="80">
        <v>193</v>
      </c>
      <c r="AB57" s="80">
        <v>217</v>
      </c>
      <c r="AC57" s="81">
        <v>86</v>
      </c>
      <c r="AD57" s="81">
        <v>201</v>
      </c>
      <c r="AE57" s="81"/>
      <c r="AF57" s="80">
        <v>14.1</v>
      </c>
      <c r="AG57" s="85"/>
      <c r="AH57" s="81"/>
      <c r="AI57" s="86"/>
      <c r="AJ57" s="86"/>
    </row>
    <row r="58" spans="1:36" s="28" customFormat="1" x14ac:dyDescent="0.25">
      <c r="A58" s="14" t="s">
        <v>59</v>
      </c>
      <c r="B58" s="69" t="s">
        <v>97</v>
      </c>
      <c r="C58" s="69" t="s">
        <v>100</v>
      </c>
      <c r="D58" s="70">
        <v>226</v>
      </c>
      <c r="E58" s="70">
        <v>372</v>
      </c>
      <c r="F58" s="70">
        <v>529</v>
      </c>
      <c r="G58" s="71">
        <v>0.46</v>
      </c>
      <c r="H58" s="71">
        <v>35.1</v>
      </c>
      <c r="I58" s="71">
        <v>630</v>
      </c>
      <c r="J58" s="72">
        <v>60</v>
      </c>
      <c r="K58" s="78">
        <v>38.161272035282167</v>
      </c>
      <c r="L58" s="78">
        <v>2.2560489677154759E-2</v>
      </c>
      <c r="M58" s="78">
        <v>-4.289252179238854E-4</v>
      </c>
      <c r="N58" s="78">
        <v>2.0798406300495791E-6</v>
      </c>
      <c r="O58" s="78">
        <v>-4.718622413712716E-9</v>
      </c>
      <c r="P58" s="78">
        <v>3.4903152100355326E-12</v>
      </c>
      <c r="Q58" s="78">
        <v>0.16139372118531256</v>
      </c>
      <c r="R58" s="78">
        <v>-1.7141714983370738E-6</v>
      </c>
      <c r="S58" s="78">
        <v>8.2303071041428351E-7</v>
      </c>
      <c r="T58" s="78">
        <v>-4.8850048899161012E-9</v>
      </c>
      <c r="U58" s="78">
        <v>1.0182590047678532E-11</v>
      </c>
      <c r="V58" s="78">
        <v>-6.5223632915105345E-15</v>
      </c>
      <c r="W58" s="80">
        <v>4.0599999999999996</v>
      </c>
      <c r="X58" s="80">
        <v>5547</v>
      </c>
      <c r="Y58" s="80">
        <v>5547</v>
      </c>
      <c r="Z58" s="80">
        <v>0.67</v>
      </c>
      <c r="AA58" s="80">
        <v>193</v>
      </c>
      <c r="AB58" s="80">
        <v>217</v>
      </c>
      <c r="AC58" s="81">
        <v>87</v>
      </c>
      <c r="AD58" s="81">
        <v>208</v>
      </c>
      <c r="AE58" s="81"/>
      <c r="AF58" s="80">
        <v>15.6</v>
      </c>
      <c r="AG58" s="85"/>
      <c r="AH58" s="81"/>
      <c r="AI58" s="86"/>
      <c r="AJ58" s="86"/>
    </row>
    <row r="59" spans="1:36" s="28" customFormat="1" x14ac:dyDescent="0.25">
      <c r="A59" s="14" t="s">
        <v>59</v>
      </c>
      <c r="B59" s="69" t="s">
        <v>97</v>
      </c>
      <c r="C59" s="69" t="s">
        <v>230</v>
      </c>
      <c r="D59" s="70">
        <v>454</v>
      </c>
      <c r="E59" s="70">
        <v>598</v>
      </c>
      <c r="F59" s="70">
        <v>755</v>
      </c>
      <c r="G59" s="71">
        <v>0.56000000000000005</v>
      </c>
      <c r="H59" s="71">
        <v>34.200000000000003</v>
      </c>
      <c r="I59" s="71">
        <v>1028</v>
      </c>
      <c r="J59" s="72">
        <v>60</v>
      </c>
      <c r="K59" s="78">
        <v>37.340957206023496</v>
      </c>
      <c r="L59" s="78">
        <v>5.5071449477276492E-3</v>
      </c>
      <c r="M59" s="78">
        <v>-3.1092376362602535E-5</v>
      </c>
      <c r="N59" s="78">
        <v>-8.909023712021418E-10</v>
      </c>
      <c r="O59" s="78">
        <v>4.3604313156570057E-11</v>
      </c>
      <c r="P59" s="78">
        <v>-5.0274168453646206E-14</v>
      </c>
      <c r="Q59" s="78">
        <v>0.19542901915255029</v>
      </c>
      <c r="R59" s="78">
        <v>-1.0741382834799173E-4</v>
      </c>
      <c r="S59" s="78">
        <v>5.9949168117926133E-7</v>
      </c>
      <c r="T59" s="78">
        <v>-5.5608898934596684E-10</v>
      </c>
      <c r="U59" s="78">
        <v>1.4037308692730501E-13</v>
      </c>
      <c r="V59" s="78">
        <v>8.6647864824154368E-18</v>
      </c>
      <c r="W59" s="80">
        <v>4.0599999999999996</v>
      </c>
      <c r="X59" s="80">
        <v>5547</v>
      </c>
      <c r="Y59" s="80">
        <v>5547</v>
      </c>
      <c r="Z59" s="80">
        <v>0.55000000000000004</v>
      </c>
      <c r="AA59" s="80">
        <v>105</v>
      </c>
      <c r="AB59" s="80">
        <v>121</v>
      </c>
      <c r="AC59" s="81">
        <v>87</v>
      </c>
      <c r="AD59" s="81">
        <v>208</v>
      </c>
      <c r="AE59" s="81"/>
      <c r="AF59" s="80"/>
      <c r="AG59" s="85"/>
      <c r="AH59" s="81"/>
      <c r="AI59" s="86"/>
      <c r="AJ59" s="86"/>
    </row>
    <row r="60" spans="1:36" s="28" customFormat="1" x14ac:dyDescent="0.25">
      <c r="A60" s="14" t="s">
        <v>59</v>
      </c>
      <c r="B60" s="88" t="s">
        <v>97</v>
      </c>
      <c r="C60" s="88" t="s">
        <v>101</v>
      </c>
      <c r="D60" s="70">
        <v>529</v>
      </c>
      <c r="E60" s="70">
        <v>745</v>
      </c>
      <c r="F60" s="70">
        <v>1059</v>
      </c>
      <c r="G60" s="71">
        <v>0.57999999999999996</v>
      </c>
      <c r="H60" s="71">
        <v>39.4</v>
      </c>
      <c r="I60" s="71">
        <v>1394</v>
      </c>
      <c r="J60" s="72">
        <v>60</v>
      </c>
      <c r="K60" s="78">
        <v>39.62807780591568</v>
      </c>
      <c r="L60" s="78">
        <v>7.2590647559812567E-3</v>
      </c>
      <c r="M60" s="78">
        <v>2.1536702879969981E-6</v>
      </c>
      <c r="N60" s="78">
        <v>-4.8473611394727961E-8</v>
      </c>
      <c r="O60" s="78">
        <v>3.9821738630686365E-11</v>
      </c>
      <c r="P60" s="78">
        <v>-1.3828284188901982E-14</v>
      </c>
      <c r="Q60" s="78">
        <v>0.24540447053605272</v>
      </c>
      <c r="R60" s="78">
        <v>1.2732071157724534E-4</v>
      </c>
      <c r="S60" s="78">
        <v>-1.2685792269957067E-8</v>
      </c>
      <c r="T60" s="78">
        <v>-5.4701035495851007E-11</v>
      </c>
      <c r="U60" s="78">
        <v>1.1120728525577616E-13</v>
      </c>
      <c r="V60" s="78">
        <v>-4.3320864508736728E-17</v>
      </c>
      <c r="W60" s="80">
        <v>4.0599999999999996</v>
      </c>
      <c r="X60" s="80">
        <v>5547</v>
      </c>
      <c r="Y60" s="80">
        <v>5547</v>
      </c>
      <c r="Z60" s="80">
        <v>0.79</v>
      </c>
      <c r="AA60" s="80">
        <v>322</v>
      </c>
      <c r="AB60" s="80">
        <v>346</v>
      </c>
      <c r="AC60" s="81">
        <v>84</v>
      </c>
      <c r="AD60" s="81">
        <v>202</v>
      </c>
      <c r="AE60" s="81"/>
      <c r="AF60" s="80">
        <v>16.3</v>
      </c>
      <c r="AG60" s="85"/>
      <c r="AH60" s="81"/>
      <c r="AI60" s="86"/>
      <c r="AJ60" s="86"/>
    </row>
    <row r="61" spans="1:36" s="28" customFormat="1" x14ac:dyDescent="0.25">
      <c r="A61" s="14" t="s">
        <v>59</v>
      </c>
      <c r="B61" s="88" t="s">
        <v>97</v>
      </c>
      <c r="C61" s="88" t="s">
        <v>102</v>
      </c>
      <c r="D61" s="70">
        <v>719</v>
      </c>
      <c r="E61" s="70">
        <v>925</v>
      </c>
      <c r="F61" s="70">
        <v>1209</v>
      </c>
      <c r="G61" s="71">
        <v>0.61</v>
      </c>
      <c r="H61" s="71">
        <v>38.6</v>
      </c>
      <c r="I61" s="71">
        <v>1963</v>
      </c>
      <c r="J61" s="72">
        <v>60</v>
      </c>
      <c r="K61" s="78">
        <v>40.020056751606901</v>
      </c>
      <c r="L61" s="78">
        <v>9.8411410529820019E-3</v>
      </c>
      <c r="M61" s="78">
        <v>-3.0815229769759028E-5</v>
      </c>
      <c r="N61" s="78">
        <v>3.424008772506396E-8</v>
      </c>
      <c r="O61" s="78">
        <v>-2.3372178644157618E-11</v>
      </c>
      <c r="P61" s="78">
        <v>5.0708456917086111E-15</v>
      </c>
      <c r="Q61" s="78">
        <v>0.31771035321885105</v>
      </c>
      <c r="R61" s="78">
        <v>6.5628008851240381E-5</v>
      </c>
      <c r="S61" s="78">
        <v>2.7338738919516865E-8</v>
      </c>
      <c r="T61" s="78">
        <v>1.4551175338785619E-11</v>
      </c>
      <c r="U61" s="78">
        <v>-1.0341155818659936E-15</v>
      </c>
      <c r="V61" s="78">
        <v>1.5283005734411782E-19</v>
      </c>
      <c r="W61" s="80">
        <v>4.0599999999999996</v>
      </c>
      <c r="X61" s="80">
        <v>5547</v>
      </c>
      <c r="Y61" s="80">
        <v>5547</v>
      </c>
      <c r="Z61" s="80">
        <v>0.79</v>
      </c>
      <c r="AA61" s="80">
        <v>322</v>
      </c>
      <c r="AB61" s="80">
        <v>346</v>
      </c>
      <c r="AC61" s="81">
        <v>79</v>
      </c>
      <c r="AD61" s="81">
        <v>185</v>
      </c>
      <c r="AE61" s="81"/>
      <c r="AF61" s="80">
        <v>9.8000000000000007</v>
      </c>
      <c r="AG61" s="85"/>
      <c r="AH61" s="81"/>
      <c r="AI61" s="86"/>
      <c r="AJ61" s="86"/>
    </row>
    <row r="62" spans="1:36" s="28" customFormat="1" x14ac:dyDescent="0.25">
      <c r="A62" s="14" t="s">
        <v>59</v>
      </c>
      <c r="B62" s="88" t="s">
        <v>97</v>
      </c>
      <c r="C62" s="88" t="s">
        <v>103</v>
      </c>
      <c r="D62" s="70">
        <v>982</v>
      </c>
      <c r="E62" s="70">
        <v>1185</v>
      </c>
      <c r="F62" s="70">
        <v>1549</v>
      </c>
      <c r="G62" s="71">
        <v>0.56000000000000005</v>
      </c>
      <c r="H62" s="71">
        <v>36.200000000000003</v>
      </c>
      <c r="I62" s="71">
        <v>2645</v>
      </c>
      <c r="J62" s="72">
        <v>60</v>
      </c>
      <c r="K62" s="78">
        <v>36.066207812812152</v>
      </c>
      <c r="L62" s="78">
        <v>-1.1407301578904879E-2</v>
      </c>
      <c r="M62" s="78">
        <v>4.3212552561985167E-5</v>
      </c>
      <c r="N62" s="78">
        <v>-4.8641507310148861E-8</v>
      </c>
      <c r="O62" s="78">
        <v>1.9556233052968389E-11</v>
      </c>
      <c r="P62" s="78">
        <v>-2.809957837850782E-15</v>
      </c>
      <c r="Q62" s="78">
        <v>0.31482197900608305</v>
      </c>
      <c r="R62" s="78">
        <v>1.836463416529384E-4</v>
      </c>
      <c r="S62" s="78">
        <v>7.2474451260491466E-9</v>
      </c>
      <c r="T62" s="78">
        <v>-2.9783692993703107E-12</v>
      </c>
      <c r="U62" s="78">
        <v>6.1276349026763712E-16</v>
      </c>
      <c r="V62" s="78">
        <v>-1.4912845651063329E-19</v>
      </c>
      <c r="W62" s="80">
        <v>4.0599999999999996</v>
      </c>
      <c r="X62" s="80">
        <v>5547</v>
      </c>
      <c r="Y62" s="80">
        <v>5547</v>
      </c>
      <c r="Z62" s="80">
        <v>0.79</v>
      </c>
      <c r="AA62" s="80">
        <v>322</v>
      </c>
      <c r="AB62" s="80">
        <v>346</v>
      </c>
      <c r="AC62" s="81">
        <v>82</v>
      </c>
      <c r="AD62" s="81">
        <v>201</v>
      </c>
      <c r="AE62" s="81"/>
      <c r="AF62" s="80">
        <v>10.9</v>
      </c>
      <c r="AG62" s="85"/>
      <c r="AH62" s="81"/>
      <c r="AI62" s="86"/>
      <c r="AJ62" s="86"/>
    </row>
    <row r="63" spans="1:36" s="28" customFormat="1" x14ac:dyDescent="0.25">
      <c r="A63" s="14" t="s">
        <v>59</v>
      </c>
      <c r="B63" s="69" t="s">
        <v>97</v>
      </c>
      <c r="C63" s="69" t="s">
        <v>231</v>
      </c>
      <c r="D63" s="70">
        <v>1137</v>
      </c>
      <c r="E63" s="70">
        <v>1491</v>
      </c>
      <c r="F63" s="70">
        <v>1887</v>
      </c>
      <c r="G63" s="71">
        <v>0.59</v>
      </c>
      <c r="H63" s="71">
        <v>26.8</v>
      </c>
      <c r="I63" s="71">
        <v>2487</v>
      </c>
      <c r="J63" s="72">
        <v>60</v>
      </c>
      <c r="K63" s="78">
        <v>28.483862887319557</v>
      </c>
      <c r="L63" s="78">
        <v>-5.7194380546763159E-3</v>
      </c>
      <c r="M63" s="78">
        <v>2.0613353889659057E-5</v>
      </c>
      <c r="N63" s="78">
        <v>-2.3055343639602477E-8</v>
      </c>
      <c r="O63" s="78">
        <v>8.549158532544419E-12</v>
      </c>
      <c r="P63" s="78">
        <v>-1.1791603424186786E-15</v>
      </c>
      <c r="Q63" s="78">
        <v>0.22019528162795371</v>
      </c>
      <c r="R63" s="78">
        <v>-3.457484322698563E-5</v>
      </c>
      <c r="S63" s="78">
        <v>4.9673398342927172E-7</v>
      </c>
      <c r="T63" s="78">
        <v>-3.7946713605017666E-10</v>
      </c>
      <c r="U63" s="78">
        <v>8.2619985817913392E-14</v>
      </c>
      <c r="V63" s="78">
        <v>6.8229463424678903E-20</v>
      </c>
      <c r="W63" s="80">
        <v>4.0599999999999996</v>
      </c>
      <c r="X63" s="80">
        <v>5547</v>
      </c>
      <c r="Y63" s="80">
        <v>5547</v>
      </c>
      <c r="Z63" s="80">
        <v>0.79</v>
      </c>
      <c r="AA63" s="80">
        <v>322</v>
      </c>
      <c r="AB63" s="80">
        <v>346</v>
      </c>
      <c r="AC63" s="81">
        <v>50</v>
      </c>
      <c r="AD63" s="81">
        <v>79</v>
      </c>
      <c r="AE63" s="81"/>
      <c r="AF63" s="80">
        <v>16.8</v>
      </c>
      <c r="AG63" s="85"/>
      <c r="AH63" s="81"/>
      <c r="AI63" s="86"/>
      <c r="AJ63" s="86"/>
    </row>
    <row r="64" spans="1:36" s="28" customFormat="1" x14ac:dyDescent="0.25">
      <c r="A64" s="14" t="s">
        <v>59</v>
      </c>
      <c r="B64" s="69" t="s">
        <v>97</v>
      </c>
      <c r="C64" s="69" t="s">
        <v>232</v>
      </c>
      <c r="D64" s="70">
        <v>2418</v>
      </c>
      <c r="E64" s="70">
        <v>2984</v>
      </c>
      <c r="F64" s="70">
        <v>3630</v>
      </c>
      <c r="G64" s="71">
        <v>0.6</v>
      </c>
      <c r="H64" s="71">
        <v>28.1</v>
      </c>
      <c r="I64" s="71">
        <v>5103</v>
      </c>
      <c r="J64" s="72">
        <v>60</v>
      </c>
      <c r="K64" s="78">
        <v>33.023852287550874</v>
      </c>
      <c r="L64" s="78">
        <v>3.7281337370192688E-3</v>
      </c>
      <c r="M64" s="78">
        <v>-2.7055454407355412E-6</v>
      </c>
      <c r="N64" s="78">
        <v>-4.2049055184366046E-10</v>
      </c>
      <c r="O64" s="78">
        <v>3.3692400862753148E-13</v>
      </c>
      <c r="P64" s="78">
        <v>-4.4493019865113575E-17</v>
      </c>
      <c r="Q64" s="78">
        <v>0.71017517500530725</v>
      </c>
      <c r="R64" s="78">
        <v>1.4005033535879774E-4</v>
      </c>
      <c r="S64" s="78">
        <v>-6.3397207344197163E-8</v>
      </c>
      <c r="T64" s="78">
        <v>2.0907883507872247E-11</v>
      </c>
      <c r="U64" s="78">
        <v>-2.4814680341064139E-15</v>
      </c>
      <c r="V64" s="78">
        <v>5.2381548456857118E-21</v>
      </c>
      <c r="W64" s="80">
        <v>4.0599999999999996</v>
      </c>
      <c r="X64" s="80">
        <v>6000</v>
      </c>
      <c r="Y64" s="80">
        <v>6000</v>
      </c>
      <c r="Z64" s="80">
        <v>0.87</v>
      </c>
      <c r="AA64" s="80">
        <v>434</v>
      </c>
      <c r="AB64" s="80">
        <v>466</v>
      </c>
      <c r="AC64" s="81">
        <v>51</v>
      </c>
      <c r="AD64" s="81">
        <v>105</v>
      </c>
      <c r="AE64" s="81"/>
      <c r="AF64" s="80">
        <v>22.7</v>
      </c>
      <c r="AG64" s="85"/>
      <c r="AH64" s="81"/>
      <c r="AI64" s="86"/>
      <c r="AJ64" s="86"/>
    </row>
    <row r="65" spans="1:36" s="28" customFormat="1" x14ac:dyDescent="0.25">
      <c r="A65" s="14" t="s">
        <v>59</v>
      </c>
      <c r="B65" s="69" t="s">
        <v>97</v>
      </c>
      <c r="C65" s="69" t="s">
        <v>104</v>
      </c>
      <c r="D65" s="70">
        <v>2637</v>
      </c>
      <c r="E65" s="70">
        <v>3727</v>
      </c>
      <c r="F65" s="70">
        <v>4525</v>
      </c>
      <c r="G65" s="71">
        <v>0.61</v>
      </c>
      <c r="H65" s="71">
        <v>26.6</v>
      </c>
      <c r="I65" s="71">
        <v>5776</v>
      </c>
      <c r="J65" s="72">
        <v>60</v>
      </c>
      <c r="K65" s="78">
        <v>34.337835587605426</v>
      </c>
      <c r="L65" s="78">
        <v>-3.5740305262264992E-3</v>
      </c>
      <c r="M65" s="78">
        <v>2.853722686912159E-6</v>
      </c>
      <c r="N65" s="78">
        <v>-2.0928048833421036E-9</v>
      </c>
      <c r="O65" s="78">
        <v>5.5182643634921703E-13</v>
      </c>
      <c r="P65" s="78">
        <v>-4.9238796650192725E-17</v>
      </c>
      <c r="Q65" s="78">
        <v>0.92017903963695968</v>
      </c>
      <c r="R65" s="78">
        <v>3.2966088088930877E-4</v>
      </c>
      <c r="S65" s="78">
        <v>-2.2396489505025295E-7</v>
      </c>
      <c r="T65" s="78">
        <v>6.0488407530262898E-11</v>
      </c>
      <c r="U65" s="78">
        <v>-5.4209506836222447E-15</v>
      </c>
      <c r="V65" s="78">
        <v>1.4668530502521052E-21</v>
      </c>
      <c r="W65" s="80">
        <v>4.0599999999999996</v>
      </c>
      <c r="X65" s="80">
        <v>6000</v>
      </c>
      <c r="Y65" s="80">
        <v>6000</v>
      </c>
      <c r="Z65" s="80">
        <v>0.87</v>
      </c>
      <c r="AA65" s="80">
        <v>434</v>
      </c>
      <c r="AB65" s="80">
        <v>466</v>
      </c>
      <c r="AC65" s="81">
        <v>42</v>
      </c>
      <c r="AD65" s="81">
        <v>88</v>
      </c>
      <c r="AE65" s="81"/>
      <c r="AF65" s="80">
        <v>22.7</v>
      </c>
      <c r="AG65" s="85"/>
      <c r="AH65" s="81"/>
      <c r="AI65" s="86"/>
      <c r="AJ65" s="86"/>
    </row>
    <row r="66" spans="1:36" s="28" customFormat="1" x14ac:dyDescent="0.25">
      <c r="A66" s="14" t="s">
        <v>59</v>
      </c>
      <c r="B66" s="69" t="s">
        <v>97</v>
      </c>
      <c r="C66" s="88" t="s">
        <v>233</v>
      </c>
      <c r="D66" s="70">
        <v>4148</v>
      </c>
      <c r="E66" s="70">
        <v>5218</v>
      </c>
      <c r="F66" s="70">
        <v>6343</v>
      </c>
      <c r="G66" s="71">
        <v>0.62</v>
      </c>
      <c r="H66" s="71">
        <v>22.4</v>
      </c>
      <c r="I66" s="71">
        <v>7900</v>
      </c>
      <c r="J66" s="72">
        <v>60</v>
      </c>
      <c r="K66" s="78">
        <v>23.619286416911201</v>
      </c>
      <c r="L66" s="78">
        <v>2.1147021288330848E-3</v>
      </c>
      <c r="M66" s="78">
        <v>-1.3357162455174553E-6</v>
      </c>
      <c r="N66" s="78">
        <v>3.2792034538954073E-10</v>
      </c>
      <c r="O66" s="78">
        <v>-4.0917274718392159E-14</v>
      </c>
      <c r="P66" s="78">
        <v>1.4609591899930065E-18</v>
      </c>
      <c r="Q66" s="78">
        <v>0.82857080379313996</v>
      </c>
      <c r="R66" s="78">
        <v>1.3930286768250525E-4</v>
      </c>
      <c r="S66" s="78">
        <v>-9.8541187315056914E-9</v>
      </c>
      <c r="T66" s="78">
        <v>1.4977698781327938E-12</v>
      </c>
      <c r="U66" s="78">
        <v>-4.9982208304141262E-16</v>
      </c>
      <c r="V66" s="78">
        <v>3.1036715808849377E-20</v>
      </c>
      <c r="W66" s="80">
        <v>4.0599999999999996</v>
      </c>
      <c r="X66" s="80">
        <v>5547</v>
      </c>
      <c r="Y66" s="80">
        <v>5547</v>
      </c>
      <c r="Z66" s="80">
        <v>0.98</v>
      </c>
      <c r="AA66" s="80">
        <v>635</v>
      </c>
      <c r="AB66" s="80">
        <v>683</v>
      </c>
      <c r="AC66" s="81">
        <v>34</v>
      </c>
      <c r="AD66" s="81">
        <v>71</v>
      </c>
      <c r="AE66" s="81"/>
      <c r="AF66" s="80">
        <v>23.7</v>
      </c>
      <c r="AG66" s="85"/>
      <c r="AH66" s="81"/>
      <c r="AI66" s="86"/>
      <c r="AJ66" s="86"/>
    </row>
    <row r="67" spans="1:36" s="28" customFormat="1" x14ac:dyDescent="0.25">
      <c r="A67" s="14" t="s">
        <v>59</v>
      </c>
      <c r="B67" s="69" t="s">
        <v>234</v>
      </c>
      <c r="C67" s="69" t="s">
        <v>105</v>
      </c>
      <c r="D67" s="70">
        <v>4166</v>
      </c>
      <c r="E67" s="70">
        <v>5966</v>
      </c>
      <c r="F67" s="70">
        <v>7551</v>
      </c>
      <c r="G67" s="71">
        <v>0.62</v>
      </c>
      <c r="H67" s="71">
        <v>32.200000000000003</v>
      </c>
      <c r="I67" s="71">
        <v>9815</v>
      </c>
      <c r="J67" s="72">
        <v>60</v>
      </c>
      <c r="K67" s="78">
        <v>44.016055686669574</v>
      </c>
      <c r="L67" s="78">
        <v>3.913660366877179E-3</v>
      </c>
      <c r="M67" s="78">
        <v>-4.9831212655797679E-6</v>
      </c>
      <c r="N67" s="78">
        <v>1.3532630280894299E-9</v>
      </c>
      <c r="O67" s="78">
        <v>-1.5294249240162979E-13</v>
      </c>
      <c r="P67" s="78">
        <v>5.894680285565609E-18</v>
      </c>
      <c r="Q67" s="78">
        <v>1.6643927339566202</v>
      </c>
      <c r="R67" s="78">
        <v>4.4942817478416818E-4</v>
      </c>
      <c r="S67" s="78">
        <v>-2.6166519283239597E-7</v>
      </c>
      <c r="T67" s="78">
        <v>6.6000080183470818E-11</v>
      </c>
      <c r="U67" s="78">
        <v>-7.2721614832750925E-15</v>
      </c>
      <c r="V67" s="78">
        <v>2.8480695167929839E-19</v>
      </c>
      <c r="W67" s="80">
        <v>4.49</v>
      </c>
      <c r="X67" s="80">
        <v>4978</v>
      </c>
      <c r="Y67" s="80">
        <v>4978</v>
      </c>
      <c r="Z67" s="80">
        <v>0.98</v>
      </c>
      <c r="AA67" s="80">
        <v>635</v>
      </c>
      <c r="AB67" s="80">
        <v>683</v>
      </c>
      <c r="AC67" s="81">
        <v>38</v>
      </c>
      <c r="AD67" s="81">
        <v>78</v>
      </c>
      <c r="AE67" s="81"/>
      <c r="AF67" s="80">
        <v>39</v>
      </c>
      <c r="AG67" s="85"/>
      <c r="AH67" s="81"/>
      <c r="AI67" s="86"/>
      <c r="AJ67" s="86"/>
    </row>
    <row r="68" spans="1:36" s="28" customFormat="1" x14ac:dyDescent="0.25">
      <c r="A68" s="14" t="s">
        <v>59</v>
      </c>
      <c r="B68" s="69" t="s">
        <v>234</v>
      </c>
      <c r="C68" s="69" t="s">
        <v>106</v>
      </c>
      <c r="D68" s="70">
        <v>5291</v>
      </c>
      <c r="E68" s="70">
        <v>7457</v>
      </c>
      <c r="F68" s="70">
        <v>9842</v>
      </c>
      <c r="G68" s="71">
        <v>0.66</v>
      </c>
      <c r="H68" s="71">
        <v>31.1</v>
      </c>
      <c r="I68" s="71">
        <v>12824</v>
      </c>
      <c r="J68" s="72">
        <v>60</v>
      </c>
      <c r="K68" s="78">
        <v>30.926693810526324</v>
      </c>
      <c r="L68" s="78">
        <v>2.7448605334286821E-4</v>
      </c>
      <c r="M68" s="78">
        <v>-1.5571489350726609E-7</v>
      </c>
      <c r="N68" s="78">
        <v>6.1650795329879966E-11</v>
      </c>
      <c r="O68" s="78">
        <v>-9.4559240291384709E-15</v>
      </c>
      <c r="P68" s="78">
        <v>3.3639192054863729E-19</v>
      </c>
      <c r="Q68" s="78">
        <v>1.4889006274179604</v>
      </c>
      <c r="R68" s="78">
        <v>5.6016668257144052E-4</v>
      </c>
      <c r="S68" s="78">
        <v>-3.8394574604791122E-7</v>
      </c>
      <c r="T68" s="78">
        <v>7.8495836691353382E-11</v>
      </c>
      <c r="U68" s="78">
        <v>-6.504929775434775E-15</v>
      </c>
      <c r="V68" s="78">
        <v>1.900124798783839E-19</v>
      </c>
      <c r="W68" s="80">
        <v>4.49</v>
      </c>
      <c r="X68" s="80">
        <v>6000</v>
      </c>
      <c r="Y68" s="80">
        <v>6000</v>
      </c>
      <c r="Z68" s="80">
        <v>0.98</v>
      </c>
      <c r="AA68" s="80">
        <v>635</v>
      </c>
      <c r="AB68" s="80">
        <v>683</v>
      </c>
      <c r="AC68" s="81">
        <v>29</v>
      </c>
      <c r="AD68" s="81">
        <v>61</v>
      </c>
      <c r="AE68" s="81"/>
      <c r="AF68" s="80">
        <v>37.200000000000003</v>
      </c>
      <c r="AG68" s="85"/>
      <c r="AH68" s="81"/>
      <c r="AI68" s="86"/>
      <c r="AJ68" s="86"/>
    </row>
    <row r="69" spans="1:36" s="28" customFormat="1" x14ac:dyDescent="0.25">
      <c r="A69" s="14" t="s">
        <v>59</v>
      </c>
      <c r="B69" s="69" t="s">
        <v>234</v>
      </c>
      <c r="C69" s="69" t="s">
        <v>107</v>
      </c>
      <c r="D69" s="70">
        <v>7554</v>
      </c>
      <c r="E69" s="70">
        <v>9302</v>
      </c>
      <c r="F69" s="70">
        <v>10570</v>
      </c>
      <c r="G69" s="71">
        <v>0.64</v>
      </c>
      <c r="H69" s="71">
        <v>25.2</v>
      </c>
      <c r="I69" s="71">
        <v>15051</v>
      </c>
      <c r="J69" s="72">
        <v>60</v>
      </c>
      <c r="K69" s="78">
        <v>31.332494808245983</v>
      </c>
      <c r="L69" s="78">
        <v>2.0878117736040651E-3</v>
      </c>
      <c r="M69" s="78">
        <v>-1.5840793347880066E-6</v>
      </c>
      <c r="N69" s="78">
        <v>2.9942908880726118E-10</v>
      </c>
      <c r="O69" s="78">
        <v>-2.3074877032364961E-14</v>
      </c>
      <c r="P69" s="78">
        <v>5.9506082047725959E-19</v>
      </c>
      <c r="Q69" s="78">
        <v>1.6335927352374631</v>
      </c>
      <c r="R69" s="78">
        <v>3.2078736367063468E-4</v>
      </c>
      <c r="S69" s="78">
        <v>-1.1010973119857401E-7</v>
      </c>
      <c r="T69" s="78">
        <v>1.9421838699322117E-11</v>
      </c>
      <c r="U69" s="78">
        <v>-1.424420729778864E-15</v>
      </c>
      <c r="V69" s="78">
        <v>3.5483506980440652E-20</v>
      </c>
      <c r="W69" s="80">
        <v>4.49</v>
      </c>
      <c r="X69" s="80">
        <v>4978</v>
      </c>
      <c r="Y69" s="80">
        <v>4978</v>
      </c>
      <c r="Z69" s="80">
        <v>1.18</v>
      </c>
      <c r="AA69" s="80">
        <v>1110</v>
      </c>
      <c r="AB69" s="80">
        <v>1198</v>
      </c>
      <c r="AC69" s="81">
        <v>29</v>
      </c>
      <c r="AD69" s="81">
        <v>60</v>
      </c>
      <c r="AE69" s="81"/>
      <c r="AF69" s="80">
        <v>38.700000000000003</v>
      </c>
      <c r="AG69" s="85"/>
      <c r="AH69" s="81"/>
      <c r="AI69" s="86"/>
      <c r="AJ69" s="86"/>
    </row>
    <row r="70" spans="1:36" s="28" customFormat="1" x14ac:dyDescent="0.25">
      <c r="A70" s="14" t="s">
        <v>59</v>
      </c>
      <c r="B70" s="69" t="s">
        <v>235</v>
      </c>
      <c r="C70" s="69" t="s">
        <v>108</v>
      </c>
      <c r="D70" s="70">
        <v>755</v>
      </c>
      <c r="E70" s="70">
        <v>970</v>
      </c>
      <c r="F70" s="70">
        <v>1360</v>
      </c>
      <c r="G70" s="71">
        <v>0.55000000000000004</v>
      </c>
      <c r="H70" s="71">
        <v>52.9</v>
      </c>
      <c r="I70" s="71">
        <v>2243</v>
      </c>
      <c r="J70" s="72">
        <v>60</v>
      </c>
      <c r="K70" s="78">
        <v>57.211746531581866</v>
      </c>
      <c r="L70" s="78">
        <v>-6.6776771782417442E-3</v>
      </c>
      <c r="M70" s="78">
        <v>1.3613894844399395E-5</v>
      </c>
      <c r="N70" s="78">
        <v>-2.164452832848002E-8</v>
      </c>
      <c r="O70" s="78">
        <v>7.0798479542902506E-12</v>
      </c>
      <c r="P70" s="78">
        <v>-8.1447274895554126E-16</v>
      </c>
      <c r="Q70" s="78">
        <v>0.63532284131179162</v>
      </c>
      <c r="R70" s="78">
        <v>1.0660628694690515E-4</v>
      </c>
      <c r="S70" s="78">
        <v>-3.4512612999368565E-7</v>
      </c>
      <c r="T70" s="78">
        <v>3.6922995139242188E-10</v>
      </c>
      <c r="U70" s="78">
        <v>-9.4470592738604755E-14</v>
      </c>
      <c r="V70" s="78">
        <v>1.013654837996701E-18</v>
      </c>
      <c r="W70" s="80">
        <v>4.84</v>
      </c>
      <c r="X70" s="80">
        <v>4978</v>
      </c>
      <c r="Y70" s="80">
        <v>4978</v>
      </c>
      <c r="Z70" s="80">
        <v>0.98</v>
      </c>
      <c r="AA70" s="80">
        <v>635</v>
      </c>
      <c r="AB70" s="80">
        <v>683</v>
      </c>
      <c r="AC70" s="81">
        <v>101</v>
      </c>
      <c r="AD70" s="81">
        <v>211</v>
      </c>
      <c r="AE70" s="81"/>
      <c r="AF70" s="80">
        <v>22.5</v>
      </c>
      <c r="AG70" s="85"/>
      <c r="AH70" s="81"/>
      <c r="AI70" s="86"/>
      <c r="AJ70" s="86"/>
    </row>
    <row r="71" spans="1:36" s="28" customFormat="1" x14ac:dyDescent="0.25">
      <c r="A71" s="14" t="s">
        <v>59</v>
      </c>
      <c r="B71" s="69" t="s">
        <v>235</v>
      </c>
      <c r="C71" s="69" t="s">
        <v>109</v>
      </c>
      <c r="D71" s="70">
        <v>1361</v>
      </c>
      <c r="E71" s="70">
        <v>1861</v>
      </c>
      <c r="F71" s="70">
        <v>2337</v>
      </c>
      <c r="G71" s="71">
        <v>0.61</v>
      </c>
      <c r="H71" s="71">
        <v>54.4</v>
      </c>
      <c r="I71" s="71">
        <v>3364</v>
      </c>
      <c r="J71" s="72">
        <v>60</v>
      </c>
      <c r="K71" s="78">
        <v>58.822553565573521</v>
      </c>
      <c r="L71" s="78">
        <v>-8.4861017915369239E-3</v>
      </c>
      <c r="M71" s="78">
        <v>1.9655138271137281E-5</v>
      </c>
      <c r="N71" s="78">
        <v>-1.7475786628679929E-8</v>
      </c>
      <c r="O71" s="78">
        <v>5.0475818077073551E-12</v>
      </c>
      <c r="P71" s="78">
        <v>-5.2762668311897938E-16</v>
      </c>
      <c r="Q71" s="78">
        <v>0.83331482626885245</v>
      </c>
      <c r="R71" s="78">
        <v>2.4259979723312614E-4</v>
      </c>
      <c r="S71" s="78">
        <v>-5.6534224265925749E-8</v>
      </c>
      <c r="T71" s="78">
        <v>-3.1121436756489286E-11</v>
      </c>
      <c r="U71" s="78">
        <v>2.0769746866458108E-14</v>
      </c>
      <c r="V71" s="78">
        <v>-2.5013562111479724E-18</v>
      </c>
      <c r="W71" s="80">
        <v>4.84</v>
      </c>
      <c r="X71" s="80">
        <v>4978</v>
      </c>
      <c r="Y71" s="80">
        <v>4978</v>
      </c>
      <c r="Z71" s="80">
        <v>0.98</v>
      </c>
      <c r="AA71" s="80">
        <v>635</v>
      </c>
      <c r="AB71" s="80">
        <v>683</v>
      </c>
      <c r="AC71" s="81">
        <v>79</v>
      </c>
      <c r="AD71" s="81">
        <v>181</v>
      </c>
      <c r="AE71" s="81"/>
      <c r="AF71" s="80">
        <v>27.6</v>
      </c>
      <c r="AG71" s="85"/>
      <c r="AH71" s="81"/>
      <c r="AI71" s="86"/>
      <c r="AJ71" s="86"/>
    </row>
    <row r="72" spans="1:36" s="28" customFormat="1" x14ac:dyDescent="0.25">
      <c r="A72" s="14" t="s">
        <v>59</v>
      </c>
      <c r="B72" s="88" t="s">
        <v>223</v>
      </c>
      <c r="C72" s="69" t="s">
        <v>236</v>
      </c>
      <c r="D72" s="70">
        <v>3026</v>
      </c>
      <c r="E72" s="70">
        <v>3727</v>
      </c>
      <c r="F72" s="70">
        <v>4904</v>
      </c>
      <c r="G72" s="71">
        <v>0.64</v>
      </c>
      <c r="H72" s="71">
        <v>101.2</v>
      </c>
      <c r="I72" s="71">
        <v>7095</v>
      </c>
      <c r="J72" s="72">
        <v>60</v>
      </c>
      <c r="K72" s="78">
        <v>106.28602209953705</v>
      </c>
      <c r="L72" s="78">
        <v>4.4999250109732918E-3</v>
      </c>
      <c r="M72" s="78">
        <v>-4.371470475360117E-6</v>
      </c>
      <c r="N72" s="78">
        <v>1.6398197347833126E-9</v>
      </c>
      <c r="O72" s="78">
        <v>-3.5612345805432298E-13</v>
      </c>
      <c r="P72" s="78">
        <v>2.2426302697629741E-17</v>
      </c>
      <c r="Q72" s="78">
        <v>3.2241307584249164</v>
      </c>
      <c r="R72" s="78">
        <v>-1.7044967100433666E-4</v>
      </c>
      <c r="S72" s="78">
        <v>3.5917548451926624E-7</v>
      </c>
      <c r="T72" s="78">
        <v>-9.3087463938439521E-11</v>
      </c>
      <c r="U72" s="78">
        <v>7.288371825784636E-15</v>
      </c>
      <c r="V72" s="78">
        <v>1.1859428429018152E-23</v>
      </c>
      <c r="W72" s="80">
        <v>6.77</v>
      </c>
      <c r="X72" s="80">
        <v>4831</v>
      </c>
      <c r="Y72" s="80">
        <v>4831</v>
      </c>
      <c r="Z72" s="80">
        <v>1.18</v>
      </c>
      <c r="AA72" s="80">
        <v>563</v>
      </c>
      <c r="AB72" s="80">
        <v>780</v>
      </c>
      <c r="AC72" s="81">
        <v>22</v>
      </c>
      <c r="AD72" s="81">
        <v>104</v>
      </c>
      <c r="AE72" s="81"/>
      <c r="AF72" s="80">
        <v>101.1</v>
      </c>
      <c r="AG72" s="85"/>
      <c r="AH72" s="81"/>
      <c r="AI72" s="86"/>
      <c r="AJ72" s="86"/>
    </row>
    <row r="73" spans="1:36" s="28" customFormat="1" x14ac:dyDescent="0.25">
      <c r="A73" s="14" t="s">
        <v>59</v>
      </c>
      <c r="B73" s="88" t="s">
        <v>223</v>
      </c>
      <c r="C73" s="69" t="s">
        <v>237</v>
      </c>
      <c r="D73" s="70">
        <v>5286</v>
      </c>
      <c r="E73" s="70">
        <v>7466</v>
      </c>
      <c r="F73" s="70">
        <v>9821</v>
      </c>
      <c r="G73" s="71">
        <v>0.66</v>
      </c>
      <c r="H73" s="71">
        <v>103.9</v>
      </c>
      <c r="I73" s="71">
        <v>14331</v>
      </c>
      <c r="J73" s="72">
        <v>60</v>
      </c>
      <c r="K73" s="78">
        <v>99.627538752000106</v>
      </c>
      <c r="L73" s="78">
        <v>-1.0288169075950787E-4</v>
      </c>
      <c r="M73" s="78">
        <v>1.0246451736715753E-6</v>
      </c>
      <c r="N73" s="78">
        <v>-2.4851209492046041E-10</v>
      </c>
      <c r="O73" s="78">
        <v>1.8490909859658959E-14</v>
      </c>
      <c r="P73" s="78">
        <v>-5.8912596529220328E-19</v>
      </c>
      <c r="Q73" s="78">
        <v>4.7145532100300347</v>
      </c>
      <c r="R73" s="78">
        <v>5.495446207739108E-4</v>
      </c>
      <c r="S73" s="78">
        <v>-8.8345266596210881E-9</v>
      </c>
      <c r="T73" s="78">
        <v>-4.1287567402783946E-13</v>
      </c>
      <c r="U73" s="78">
        <v>6.7680528593840754E-18</v>
      </c>
      <c r="V73" s="78">
        <v>-1.8896729558736306E-22</v>
      </c>
      <c r="W73" s="80">
        <v>6.77</v>
      </c>
      <c r="X73" s="80">
        <v>4831</v>
      </c>
      <c r="Y73" s="80">
        <v>4831</v>
      </c>
      <c r="Z73" s="80">
        <v>1.5</v>
      </c>
      <c r="AA73" s="80">
        <v>1158</v>
      </c>
      <c r="AB73" s="80">
        <v>1592</v>
      </c>
      <c r="AC73" s="81">
        <v>15</v>
      </c>
      <c r="AD73" s="81">
        <v>74</v>
      </c>
      <c r="AE73" s="81"/>
      <c r="AF73" s="80">
        <v>136.30000000000001</v>
      </c>
      <c r="AG73" s="85"/>
      <c r="AH73" s="81"/>
      <c r="AI73" s="86"/>
      <c r="AJ73" s="86"/>
    </row>
    <row r="74" spans="1:36" s="28" customFormat="1" x14ac:dyDescent="0.25">
      <c r="A74" s="14" t="s">
        <v>59</v>
      </c>
      <c r="B74" s="88" t="s">
        <v>223</v>
      </c>
      <c r="C74" s="69" t="s">
        <v>238</v>
      </c>
      <c r="D74" s="70">
        <v>8314</v>
      </c>
      <c r="E74" s="70">
        <v>11932</v>
      </c>
      <c r="F74" s="70">
        <v>14343</v>
      </c>
      <c r="G74" s="71">
        <v>0.66</v>
      </c>
      <c r="H74" s="71">
        <v>96.3</v>
      </c>
      <c r="I74" s="71">
        <v>18462</v>
      </c>
      <c r="J74" s="72">
        <v>60</v>
      </c>
      <c r="K74" s="78">
        <v>108.55967007789194</v>
      </c>
      <c r="L74" s="78">
        <v>2.136892175470658E-3</v>
      </c>
      <c r="M74" s="78">
        <v>-6.6444068668330491E-7</v>
      </c>
      <c r="N74" s="78">
        <v>4.0891877274377966E-11</v>
      </c>
      <c r="O74" s="78">
        <v>-1.689288040222573E-15</v>
      </c>
      <c r="P74" s="78">
        <v>7.7190013282959823E-21</v>
      </c>
      <c r="Q74" s="78">
        <v>5.0918094462053771</v>
      </c>
      <c r="R74" s="78">
        <v>3.5562971365610561E-4</v>
      </c>
      <c r="S74" s="78">
        <v>5.7679282201819814E-8</v>
      </c>
      <c r="T74" s="78">
        <v>-6.0669076161889455E-12</v>
      </c>
      <c r="U74" s="78">
        <v>1.5324780589500042E-16</v>
      </c>
      <c r="V74" s="78">
        <v>8.7958714728302402E-23</v>
      </c>
      <c r="W74" s="80">
        <v>6.77</v>
      </c>
      <c r="X74" s="80">
        <v>4831</v>
      </c>
      <c r="Y74" s="80">
        <v>4831</v>
      </c>
      <c r="Z74" s="80">
        <v>1.5</v>
      </c>
      <c r="AA74" s="80">
        <v>1158</v>
      </c>
      <c r="AB74" s="80">
        <v>1592</v>
      </c>
      <c r="AC74" s="81">
        <v>13</v>
      </c>
      <c r="AD74" s="81">
        <v>48</v>
      </c>
      <c r="AE74" s="81"/>
      <c r="AF74" s="80">
        <v>152.80000000000001</v>
      </c>
      <c r="AG74" s="85"/>
      <c r="AH74" s="81"/>
      <c r="AI74" s="86"/>
      <c r="AJ74" s="86"/>
    </row>
    <row r="75" spans="1:36" s="28" customFormat="1" x14ac:dyDescent="0.25">
      <c r="A75" s="14" t="s">
        <v>59</v>
      </c>
      <c r="B75" s="88" t="s">
        <v>223</v>
      </c>
      <c r="C75" s="69" t="s">
        <v>110</v>
      </c>
      <c r="D75" s="70">
        <v>10602</v>
      </c>
      <c r="E75" s="70">
        <v>14932</v>
      </c>
      <c r="F75" s="70">
        <v>19642</v>
      </c>
      <c r="G75" s="71">
        <v>0.71</v>
      </c>
      <c r="H75" s="71">
        <v>100.2</v>
      </c>
      <c r="I75" s="71">
        <v>24152</v>
      </c>
      <c r="J75" s="72">
        <v>60</v>
      </c>
      <c r="K75" s="78">
        <v>101.52482972575365</v>
      </c>
      <c r="L75" s="78">
        <v>4.6601411921548948E-4</v>
      </c>
      <c r="M75" s="78">
        <v>4.3961292284064443E-7</v>
      </c>
      <c r="N75" s="78">
        <v>-8.7092916678934204E-11</v>
      </c>
      <c r="O75" s="78">
        <v>4.7834247150181082E-15</v>
      </c>
      <c r="P75" s="78">
        <v>-9.3418995286135071E-20</v>
      </c>
      <c r="Q75" s="78">
        <v>7.3469149320375609</v>
      </c>
      <c r="R75" s="78">
        <v>6.9772281285069421E-4</v>
      </c>
      <c r="S75" s="78">
        <v>-1.4275791979311301E-8</v>
      </c>
      <c r="T75" s="78">
        <v>-9.3950885097653725E-13</v>
      </c>
      <c r="U75" s="78">
        <v>3.7244800118234116E-17</v>
      </c>
      <c r="V75" s="78">
        <v>3.1244108457441621E-24</v>
      </c>
      <c r="W75" s="80">
        <v>6.77</v>
      </c>
      <c r="X75" s="80">
        <v>4831</v>
      </c>
      <c r="Y75" s="80">
        <v>4831</v>
      </c>
      <c r="Z75" s="80">
        <v>1.65</v>
      </c>
      <c r="AA75" s="80">
        <v>1568</v>
      </c>
      <c r="AB75" s="80">
        <v>2139</v>
      </c>
      <c r="AC75" s="81">
        <v>9</v>
      </c>
      <c r="AD75" s="81">
        <v>37</v>
      </c>
      <c r="AE75" s="81"/>
      <c r="AF75" s="80">
        <v>182.2</v>
      </c>
      <c r="AG75" s="85"/>
      <c r="AH75" s="81"/>
      <c r="AI75" s="86"/>
      <c r="AJ75" s="86"/>
    </row>
    <row r="76" spans="1:36" s="28" customFormat="1" x14ac:dyDescent="0.25">
      <c r="A76" s="14" t="s">
        <v>59</v>
      </c>
      <c r="B76" s="88" t="s">
        <v>223</v>
      </c>
      <c r="C76" s="69" t="s">
        <v>111</v>
      </c>
      <c r="D76" s="70">
        <v>12810</v>
      </c>
      <c r="E76" s="70">
        <v>18651</v>
      </c>
      <c r="F76" s="70">
        <v>27149</v>
      </c>
      <c r="G76" s="71">
        <v>0.67</v>
      </c>
      <c r="H76" s="71">
        <v>82.9</v>
      </c>
      <c r="I76" s="71">
        <v>31595</v>
      </c>
      <c r="J76" s="72">
        <v>60</v>
      </c>
      <c r="K76" s="78">
        <v>94.286683717915025</v>
      </c>
      <c r="L76" s="78">
        <v>1.8850369855972738E-3</v>
      </c>
      <c r="M76" s="78">
        <v>-4.7737914383612E-7</v>
      </c>
      <c r="N76" s="78">
        <v>3.1807949164586437E-11</v>
      </c>
      <c r="O76" s="78">
        <v>-1.0260797772025877E-15</v>
      </c>
      <c r="P76" s="78">
        <v>1.0874199211370796E-20</v>
      </c>
      <c r="Q76" s="78">
        <v>9.055765938509408</v>
      </c>
      <c r="R76" s="78">
        <v>7.6895204199901022E-4</v>
      </c>
      <c r="S76" s="78">
        <v>-5.4566879630808424E-8</v>
      </c>
      <c r="T76" s="78">
        <v>2.18447896502511E-12</v>
      </c>
      <c r="U76" s="78">
        <v>-3.3551264522458569E-17</v>
      </c>
      <c r="V76" s="78">
        <v>7.0051556068815902E-25</v>
      </c>
      <c r="W76" s="80">
        <v>6.77</v>
      </c>
      <c r="X76" s="80">
        <v>4831</v>
      </c>
      <c r="Y76" s="80">
        <v>4831</v>
      </c>
      <c r="Z76" s="80">
        <v>1.65</v>
      </c>
      <c r="AA76" s="80">
        <v>1568</v>
      </c>
      <c r="AB76" s="80">
        <v>2139</v>
      </c>
      <c r="AC76" s="81">
        <v>10</v>
      </c>
      <c r="AD76" s="81">
        <v>31</v>
      </c>
      <c r="AE76" s="81"/>
      <c r="AF76" s="80">
        <v>173.8</v>
      </c>
      <c r="AG76" s="85"/>
      <c r="AH76" s="81"/>
      <c r="AI76" s="86"/>
      <c r="AJ76" s="86"/>
    </row>
    <row r="77" spans="1:36" s="28" customFormat="1" x14ac:dyDescent="0.25">
      <c r="A77" s="14" t="s">
        <v>59</v>
      </c>
      <c r="B77" s="88" t="s">
        <v>223</v>
      </c>
      <c r="C77" s="69" t="s">
        <v>112</v>
      </c>
      <c r="D77" s="70">
        <v>18148</v>
      </c>
      <c r="E77" s="70">
        <v>22389</v>
      </c>
      <c r="F77" s="70">
        <v>27197</v>
      </c>
      <c r="G77" s="71">
        <v>0.67</v>
      </c>
      <c r="H77" s="71">
        <v>68</v>
      </c>
      <c r="I77" s="71">
        <v>36276</v>
      </c>
      <c r="J77" s="72">
        <v>60</v>
      </c>
      <c r="K77" s="78">
        <v>81.233205130766294</v>
      </c>
      <c r="L77" s="78">
        <v>1.1809988640267162E-3</v>
      </c>
      <c r="M77" s="78">
        <v>-4.9417548250717651E-7</v>
      </c>
      <c r="N77" s="78">
        <v>4.2755054917018292E-11</v>
      </c>
      <c r="O77" s="78">
        <v>-1.471816155832654E-15</v>
      </c>
      <c r="P77" s="78">
        <v>1.6459517004445432E-20</v>
      </c>
      <c r="Q77" s="78">
        <v>8.9182349375599106</v>
      </c>
      <c r="R77" s="78">
        <v>1.9908968422165108E-4</v>
      </c>
      <c r="S77" s="78">
        <v>2.5917349617594302E-8</v>
      </c>
      <c r="T77" s="78">
        <v>-1.3827396150850901E-12</v>
      </c>
      <c r="U77" s="78">
        <v>2.2961322444920336E-17</v>
      </c>
      <c r="V77" s="78">
        <v>-1.5712544677741232E-22</v>
      </c>
      <c r="W77" s="80">
        <v>6.77</v>
      </c>
      <c r="X77" s="80">
        <v>4831</v>
      </c>
      <c r="Y77" s="80">
        <v>4831</v>
      </c>
      <c r="Z77" s="80">
        <v>1.65</v>
      </c>
      <c r="AA77" s="80">
        <v>1568</v>
      </c>
      <c r="AB77" s="80">
        <v>2139</v>
      </c>
      <c r="AC77" s="81">
        <v>10</v>
      </c>
      <c r="AD77" s="81">
        <v>31</v>
      </c>
      <c r="AE77" s="81"/>
      <c r="AF77" s="80">
        <v>190.7</v>
      </c>
      <c r="AG77" s="85"/>
      <c r="AH77" s="81"/>
      <c r="AI77" s="86"/>
      <c r="AJ77" s="86"/>
    </row>
    <row r="78" spans="1:36" s="28" customFormat="1" x14ac:dyDescent="0.25">
      <c r="A78" s="14" t="s">
        <v>59</v>
      </c>
      <c r="B78" s="88" t="s">
        <v>223</v>
      </c>
      <c r="C78" s="69" t="s">
        <v>113</v>
      </c>
      <c r="D78" s="70">
        <v>21315</v>
      </c>
      <c r="E78" s="70">
        <v>29812</v>
      </c>
      <c r="F78" s="70">
        <v>36269</v>
      </c>
      <c r="G78" s="71">
        <v>0.64</v>
      </c>
      <c r="H78" s="71">
        <v>58.5</v>
      </c>
      <c r="I78" s="71">
        <v>48982</v>
      </c>
      <c r="J78" s="72">
        <v>60</v>
      </c>
      <c r="K78" s="78">
        <v>65.435435433934842</v>
      </c>
      <c r="L78" s="78">
        <v>-8.1046037509383657E-4</v>
      </c>
      <c r="M78" s="78">
        <v>8.6248568072603629E-8</v>
      </c>
      <c r="N78" s="78">
        <v>-3.7563901370697013E-12</v>
      </c>
      <c r="O78" s="78">
        <v>3.6015969688719742E-17</v>
      </c>
      <c r="P78" s="78">
        <v>5.7874576126890768E-24</v>
      </c>
      <c r="Q78" s="78">
        <v>10.121267043782034</v>
      </c>
      <c r="R78" s="78">
        <v>2.3300476132432214E-4</v>
      </c>
      <c r="S78" s="78">
        <v>3.2742599234950452E-9</v>
      </c>
      <c r="T78" s="78">
        <v>-1.648238211884092E-13</v>
      </c>
      <c r="U78" s="78">
        <v>6.0306734343708154E-19</v>
      </c>
      <c r="V78" s="78">
        <v>-5.9082616432596146E-24</v>
      </c>
      <c r="W78" s="80">
        <v>6.77</v>
      </c>
      <c r="X78" s="80">
        <v>4831</v>
      </c>
      <c r="Y78" s="80">
        <v>4831</v>
      </c>
      <c r="Z78" s="80">
        <v>1.65</v>
      </c>
      <c r="AA78" s="80">
        <v>1568</v>
      </c>
      <c r="AB78" s="80">
        <v>2139</v>
      </c>
      <c r="AC78" s="81">
        <v>15</v>
      </c>
      <c r="AD78" s="81">
        <v>31</v>
      </c>
      <c r="AE78" s="81"/>
      <c r="AF78" s="80">
        <v>197.4</v>
      </c>
      <c r="AG78" s="85"/>
      <c r="AH78" s="81"/>
      <c r="AI78" s="86"/>
      <c r="AJ78" s="86"/>
    </row>
    <row r="79" spans="1:36" s="28" customFormat="1" x14ac:dyDescent="0.25">
      <c r="A79" s="14" t="s">
        <v>59</v>
      </c>
      <c r="B79" s="69" t="s">
        <v>239</v>
      </c>
      <c r="C79" s="69" t="s">
        <v>114</v>
      </c>
      <c r="D79" s="70">
        <v>30284</v>
      </c>
      <c r="E79" s="70">
        <v>37287</v>
      </c>
      <c r="F79" s="70">
        <v>45284</v>
      </c>
      <c r="G79" s="71">
        <v>0.7</v>
      </c>
      <c r="H79" s="71">
        <v>77.400000000000006</v>
      </c>
      <c r="I79" s="71">
        <v>60335</v>
      </c>
      <c r="J79" s="72">
        <v>60</v>
      </c>
      <c r="K79" s="78">
        <v>83.577449890909108</v>
      </c>
      <c r="L79" s="78">
        <v>-4.1753366083747864E-4</v>
      </c>
      <c r="M79" s="78">
        <v>3.7104274656129833E-8</v>
      </c>
      <c r="N79" s="78">
        <v>-7.8361865751946655E-13</v>
      </c>
      <c r="O79" s="78">
        <v>-1.2311693891766216E-17</v>
      </c>
      <c r="P79" s="78">
        <v>1.7753411572321407E-22</v>
      </c>
      <c r="Q79" s="78">
        <v>14.703066226573451</v>
      </c>
      <c r="R79" s="78">
        <v>-1.6521154151937102E-5</v>
      </c>
      <c r="S79" s="78">
        <v>3.4956197240322675E-8</v>
      </c>
      <c r="T79" s="78">
        <v>-9.3710243449333934E-13</v>
      </c>
      <c r="U79" s="78">
        <v>6.6183551690666267E-18</v>
      </c>
      <c r="V79" s="78">
        <v>1.5037865466343618E-36</v>
      </c>
      <c r="W79" s="80">
        <v>7.28</v>
      </c>
      <c r="X79" s="80">
        <v>2987</v>
      </c>
      <c r="Y79" s="80">
        <v>2987</v>
      </c>
      <c r="Z79" s="80">
        <v>1.65</v>
      </c>
      <c r="AA79" s="80">
        <v>1568</v>
      </c>
      <c r="AB79" s="80">
        <v>2139</v>
      </c>
      <c r="AC79" s="81">
        <v>6</v>
      </c>
      <c r="AD79" s="81">
        <v>35</v>
      </c>
      <c r="AE79" s="81"/>
      <c r="AF79" s="80">
        <v>251.3</v>
      </c>
      <c r="AG79" s="85"/>
      <c r="AH79" s="81"/>
      <c r="AI79" s="86"/>
      <c r="AJ79" s="86"/>
    </row>
    <row r="80" spans="1:36" s="28" customFormat="1" x14ac:dyDescent="0.25">
      <c r="A80" s="14" t="s">
        <v>59</v>
      </c>
      <c r="B80" s="88" t="s">
        <v>73</v>
      </c>
      <c r="C80" s="88" t="s">
        <v>240</v>
      </c>
      <c r="D80" s="70">
        <v>11320</v>
      </c>
      <c r="E80" s="70">
        <v>16980</v>
      </c>
      <c r="F80" s="70">
        <v>22640</v>
      </c>
      <c r="G80" s="71">
        <v>0.7</v>
      </c>
      <c r="H80" s="71">
        <v>47</v>
      </c>
      <c r="I80" s="71">
        <v>26614</v>
      </c>
      <c r="J80" s="72">
        <v>60</v>
      </c>
      <c r="K80" s="78">
        <v>50.306982819874065</v>
      </c>
      <c r="L80" s="78">
        <v>2.0341598507960905E-3</v>
      </c>
      <c r="M80" s="78">
        <v>-1.2203874814675366E-6</v>
      </c>
      <c r="N80" s="78">
        <v>1.404960348849088E-10</v>
      </c>
      <c r="O80" s="78">
        <v>-6.0820325699227716E-15</v>
      </c>
      <c r="P80" s="78">
        <v>8.7380000015833361E-20</v>
      </c>
      <c r="Q80" s="78">
        <v>4.5792926343267339</v>
      </c>
      <c r="R80" s="78">
        <v>4.3517648061008071E-4</v>
      </c>
      <c r="S80" s="78">
        <v>-1.3756740997388281E-7</v>
      </c>
      <c r="T80" s="78">
        <v>1.5313898256254739E-11</v>
      </c>
      <c r="U80" s="78">
        <v>-6.3988811593057412E-16</v>
      </c>
      <c r="V80" s="78">
        <v>9.0018218345797112E-21</v>
      </c>
      <c r="W80" s="80">
        <v>5.35</v>
      </c>
      <c r="X80" s="79">
        <v>5547</v>
      </c>
      <c r="Y80" s="79">
        <v>5547</v>
      </c>
      <c r="Z80" s="80">
        <v>1.18</v>
      </c>
      <c r="AA80" s="80">
        <v>1100</v>
      </c>
      <c r="AB80" s="80">
        <v>1198</v>
      </c>
      <c r="AC80" s="81"/>
      <c r="AD80" s="81"/>
      <c r="AE80" s="81"/>
      <c r="AF80" s="80"/>
      <c r="AG80" s="85"/>
      <c r="AH80" s="81"/>
      <c r="AI80" s="86"/>
      <c r="AJ80" s="86"/>
    </row>
    <row r="81" spans="1:36" s="28" customFormat="1" x14ac:dyDescent="0.25">
      <c r="A81" s="14" t="s">
        <v>59</v>
      </c>
      <c r="B81" s="69" t="s">
        <v>51</v>
      </c>
      <c r="C81" s="88" t="s">
        <v>241</v>
      </c>
      <c r="D81" s="70">
        <v>115</v>
      </c>
      <c r="E81" s="70">
        <v>933</v>
      </c>
      <c r="F81" s="70">
        <v>1209</v>
      </c>
      <c r="G81" s="71">
        <v>0.7</v>
      </c>
      <c r="H81" s="71">
        <v>13</v>
      </c>
      <c r="I81" s="71">
        <v>1902</v>
      </c>
      <c r="J81" s="72">
        <v>60</v>
      </c>
      <c r="K81" s="78">
        <v>13.254823943303595</v>
      </c>
      <c r="L81" s="78">
        <v>-5.5041859744911397E-3</v>
      </c>
      <c r="M81" s="78">
        <v>-1.8673892951715204E-5</v>
      </c>
      <c r="N81" s="78">
        <v>4.0131896727840448E-8</v>
      </c>
      <c r="O81" s="78">
        <v>-2.5585266339057533E-11</v>
      </c>
      <c r="P81" s="78">
        <v>4.9724632051653663E-15</v>
      </c>
      <c r="Q81" s="78">
        <v>0.193624502921731</v>
      </c>
      <c r="R81" s="78">
        <v>-5.4320865363297169E-5</v>
      </c>
      <c r="S81" s="78">
        <v>-3.133086508141369E-7</v>
      </c>
      <c r="T81" s="78">
        <v>6.5169797934841663E-10</v>
      </c>
      <c r="U81" s="78">
        <v>-4.3086720945398052E-13</v>
      </c>
      <c r="V81" s="78">
        <v>9.3033893180966606E-17</v>
      </c>
      <c r="W81" s="80">
        <v>2.72</v>
      </c>
      <c r="X81" s="80">
        <v>5547</v>
      </c>
      <c r="Y81" s="80">
        <v>5547</v>
      </c>
      <c r="Z81" s="80">
        <v>0.5</v>
      </c>
      <c r="AA81" s="80"/>
      <c r="AB81" s="80">
        <v>100</v>
      </c>
      <c r="AC81" s="81">
        <v>25</v>
      </c>
      <c r="AD81" s="81">
        <v>25</v>
      </c>
      <c r="AE81" s="81"/>
      <c r="AF81" s="80"/>
      <c r="AG81" s="85"/>
      <c r="AH81" s="81"/>
      <c r="AI81" s="86"/>
      <c r="AJ81" s="86"/>
    </row>
    <row r="82" spans="1:36" s="28" customFormat="1" x14ac:dyDescent="0.25">
      <c r="A82" s="14" t="s">
        <v>59</v>
      </c>
      <c r="B82" s="69" t="s">
        <v>55</v>
      </c>
      <c r="C82" s="69" t="s">
        <v>242</v>
      </c>
      <c r="D82" s="70">
        <v>755</v>
      </c>
      <c r="E82" s="70">
        <v>1509</v>
      </c>
      <c r="F82" s="70">
        <v>1887</v>
      </c>
      <c r="G82" s="71">
        <v>0.7</v>
      </c>
      <c r="H82" s="71">
        <v>13</v>
      </c>
      <c r="I82" s="71">
        <v>2500</v>
      </c>
      <c r="J82" s="72">
        <v>60</v>
      </c>
      <c r="K82" s="78">
        <v>21.871366840868685</v>
      </c>
      <c r="L82" s="78">
        <v>-7.0532862482097216E-3</v>
      </c>
      <c r="M82" s="78">
        <v>-1.2641172693072851E-5</v>
      </c>
      <c r="N82" s="78">
        <v>1.3151585266141009E-8</v>
      </c>
      <c r="O82" s="78">
        <v>-5.5156707492570643E-12</v>
      </c>
      <c r="P82" s="78">
        <v>8.8106431827377273E-16</v>
      </c>
      <c r="Q82" s="78">
        <v>0.34566457986342508</v>
      </c>
      <c r="R82" s="78">
        <v>-2.5121126631974674E-4</v>
      </c>
      <c r="S82" s="78">
        <v>1.1026091307936487E-7</v>
      </c>
      <c r="T82" s="78">
        <v>-3.3662211163204861E-11</v>
      </c>
      <c r="U82" s="78">
        <v>4.6313936962970946E-15</v>
      </c>
      <c r="V82" s="78">
        <v>4.2219623919083593E-21</v>
      </c>
      <c r="W82" s="80">
        <v>3.19</v>
      </c>
      <c r="X82" s="80">
        <v>5547</v>
      </c>
      <c r="Y82" s="80">
        <v>5547</v>
      </c>
      <c r="Z82" s="80">
        <v>0.67</v>
      </c>
      <c r="AA82" s="80"/>
      <c r="AB82" s="80">
        <v>100</v>
      </c>
      <c r="AC82" s="81">
        <v>15</v>
      </c>
      <c r="AD82" s="81">
        <v>15</v>
      </c>
      <c r="AE82" s="81"/>
      <c r="AF82" s="80"/>
      <c r="AG82" s="85"/>
      <c r="AH82" s="81"/>
      <c r="AI82" s="86"/>
      <c r="AJ82" s="86"/>
    </row>
    <row r="83" spans="1:36" s="28" customFormat="1" x14ac:dyDescent="0.25">
      <c r="A83" s="14" t="s">
        <v>59</v>
      </c>
      <c r="B83" s="69" t="s">
        <v>64</v>
      </c>
      <c r="C83" s="69" t="s">
        <v>242</v>
      </c>
      <c r="D83" s="70">
        <v>380</v>
      </c>
      <c r="E83" s="70">
        <v>1494</v>
      </c>
      <c r="F83" s="70">
        <v>1888</v>
      </c>
      <c r="G83" s="71">
        <v>0.7</v>
      </c>
      <c r="H83" s="71">
        <v>24</v>
      </c>
      <c r="I83" s="71">
        <v>3258</v>
      </c>
      <c r="J83" s="72">
        <v>60</v>
      </c>
      <c r="K83" s="78">
        <v>27.64469399779113</v>
      </c>
      <c r="L83" s="78">
        <v>-1.2496313359133648E-2</v>
      </c>
      <c r="M83" s="78">
        <v>6.3531120967716318E-6</v>
      </c>
      <c r="N83" s="78">
        <v>-4.0486904317715327E-9</v>
      </c>
      <c r="O83" s="78">
        <v>1.2939631456194874E-12</v>
      </c>
      <c r="P83" s="78">
        <v>-1.5839661675141546E-16</v>
      </c>
      <c r="Q83" s="78">
        <v>0.68211194242162432</v>
      </c>
      <c r="R83" s="78">
        <v>-4.4019015704767974E-4</v>
      </c>
      <c r="S83" s="78">
        <v>2.6296695847104964E-7</v>
      </c>
      <c r="T83" s="78">
        <v>-8.4496580951636019E-11</v>
      </c>
      <c r="U83" s="78">
        <v>8.6701271239304995E-15</v>
      </c>
      <c r="V83" s="78">
        <v>2.9436568209439073E-19</v>
      </c>
      <c r="W83" s="80">
        <v>3.62</v>
      </c>
      <c r="X83" s="80">
        <v>5547</v>
      </c>
      <c r="Y83" s="80">
        <v>5547</v>
      </c>
      <c r="Z83" s="80">
        <v>0.79</v>
      </c>
      <c r="AA83" s="80"/>
      <c r="AB83" s="80">
        <v>346</v>
      </c>
      <c r="AC83" s="81">
        <v>22</v>
      </c>
      <c r="AD83" s="81">
        <v>22</v>
      </c>
      <c r="AE83" s="81"/>
      <c r="AF83" s="80"/>
      <c r="AG83" s="85"/>
      <c r="AH83" s="81"/>
      <c r="AI83" s="86"/>
      <c r="AJ83" s="86"/>
    </row>
    <row r="84" spans="1:36" s="28" customFormat="1" x14ac:dyDescent="0.25">
      <c r="A84" s="14" t="s">
        <v>59</v>
      </c>
      <c r="B84" s="69" t="s">
        <v>97</v>
      </c>
      <c r="C84" s="69" t="s">
        <v>241</v>
      </c>
      <c r="D84" s="70">
        <v>383</v>
      </c>
      <c r="E84" s="70">
        <v>936</v>
      </c>
      <c r="F84" s="70">
        <v>1210</v>
      </c>
      <c r="G84" s="71">
        <v>0.7</v>
      </c>
      <c r="H84" s="71">
        <v>33</v>
      </c>
      <c r="I84" s="71">
        <v>4536</v>
      </c>
      <c r="J84" s="72">
        <v>60</v>
      </c>
      <c r="K84" s="78">
        <v>34.815543061417792</v>
      </c>
      <c r="L84" s="78">
        <v>-8.766070380465652E-4</v>
      </c>
      <c r="M84" s="78">
        <v>-1.5315397183274563E-5</v>
      </c>
      <c r="N84" s="78">
        <v>1.06405193743411E-8</v>
      </c>
      <c r="O84" s="78">
        <v>-2.674115873081073E-12</v>
      </c>
      <c r="P84" s="78">
        <v>2.2711970068791924E-16</v>
      </c>
      <c r="Q84" s="78">
        <v>1.6414607927284006</v>
      </c>
      <c r="R84" s="78">
        <v>-1.3752435130063976E-4</v>
      </c>
      <c r="S84" s="78">
        <v>-7.3469965864776629E-7</v>
      </c>
      <c r="T84" s="78">
        <v>5.3421011929786126E-10</v>
      </c>
      <c r="U84" s="78">
        <v>-1.3462804982688652E-13</v>
      </c>
      <c r="V84" s="78">
        <v>1.1444524531697902E-17</v>
      </c>
      <c r="W84" s="80">
        <v>4.0599999999999996</v>
      </c>
      <c r="X84" s="80">
        <v>5547</v>
      </c>
      <c r="Y84" s="80">
        <v>5547</v>
      </c>
      <c r="Z84" s="80">
        <v>0.87</v>
      </c>
      <c r="AA84" s="80"/>
      <c r="AB84" s="80">
        <v>466</v>
      </c>
      <c r="AC84" s="81">
        <v>13</v>
      </c>
      <c r="AD84" s="81">
        <v>13</v>
      </c>
      <c r="AE84" s="81"/>
      <c r="AF84" s="80"/>
      <c r="AG84" s="85"/>
      <c r="AH84" s="81"/>
      <c r="AI84" s="86"/>
      <c r="AJ84" s="86"/>
    </row>
    <row r="85" spans="1:36" s="28" customFormat="1" x14ac:dyDescent="0.25">
      <c r="A85" s="14" t="s">
        <v>59</v>
      </c>
      <c r="B85" s="88" t="s">
        <v>97</v>
      </c>
      <c r="C85" s="88" t="s">
        <v>243</v>
      </c>
      <c r="D85" s="70">
        <v>379</v>
      </c>
      <c r="E85" s="70">
        <v>2386</v>
      </c>
      <c r="F85" s="70">
        <v>2867</v>
      </c>
      <c r="G85" s="71">
        <v>0.7</v>
      </c>
      <c r="H85" s="71">
        <v>33</v>
      </c>
      <c r="I85" s="71">
        <v>4525</v>
      </c>
      <c r="J85" s="72">
        <v>60</v>
      </c>
      <c r="K85" s="78">
        <v>34.805655261415026</v>
      </c>
      <c r="L85" s="78">
        <v>-7.7929703155632274E-4</v>
      </c>
      <c r="M85" s="78">
        <v>-1.5382419161428439E-5</v>
      </c>
      <c r="N85" s="78">
        <v>1.068373260596994E-8</v>
      </c>
      <c r="O85" s="78">
        <v>-2.6884064985816969E-12</v>
      </c>
      <c r="P85" s="78">
        <v>2.2866317953395885E-16</v>
      </c>
      <c r="Q85" s="78">
        <v>1.6409549729151647</v>
      </c>
      <c r="R85" s="78">
        <v>-1.3436536849413853E-4</v>
      </c>
      <c r="S85" s="78">
        <v>-7.3069781844374899E-7</v>
      </c>
      <c r="T85" s="78">
        <v>5.3026124711418695E-10</v>
      </c>
      <c r="U85" s="78">
        <v>-1.3357479412908144E-13</v>
      </c>
      <c r="V85" s="78">
        <v>1.1354117654334125E-17</v>
      </c>
      <c r="W85" s="80">
        <v>4.0599999999999996</v>
      </c>
      <c r="X85" s="80">
        <v>5547</v>
      </c>
      <c r="Y85" s="80">
        <v>5547</v>
      </c>
      <c r="Z85" s="80">
        <v>0.87</v>
      </c>
      <c r="AA85" s="80"/>
      <c r="AB85" s="80">
        <v>466</v>
      </c>
      <c r="AC85" s="81">
        <v>20</v>
      </c>
      <c r="AD85" s="81">
        <v>20</v>
      </c>
      <c r="AE85" s="81"/>
      <c r="AF85" s="80"/>
      <c r="AG85" s="85"/>
      <c r="AH85" s="81"/>
      <c r="AI85" s="86"/>
      <c r="AJ85" s="86"/>
    </row>
    <row r="86" spans="1:36" s="28" customFormat="1" x14ac:dyDescent="0.25">
      <c r="A86" s="14" t="s">
        <v>59</v>
      </c>
      <c r="B86" s="88" t="s">
        <v>97</v>
      </c>
      <c r="C86" s="88" t="s">
        <v>244</v>
      </c>
      <c r="D86" s="70">
        <v>379</v>
      </c>
      <c r="E86" s="70">
        <v>3727</v>
      </c>
      <c r="F86" s="70">
        <v>4530</v>
      </c>
      <c r="G86" s="71">
        <v>0.7</v>
      </c>
      <c r="H86" s="71">
        <v>33</v>
      </c>
      <c r="I86" s="71">
        <v>5659</v>
      </c>
      <c r="J86" s="72">
        <v>60</v>
      </c>
      <c r="K86" s="78">
        <v>35.28143449894506</v>
      </c>
      <c r="L86" s="78">
        <v>-7.1680484347469388E-3</v>
      </c>
      <c r="M86" s="78">
        <v>-2.6346567284142284E-6</v>
      </c>
      <c r="N86" s="78">
        <v>2.3938131192609041E-9</v>
      </c>
      <c r="O86" s="78">
        <v>-5.6049173402907125E-13</v>
      </c>
      <c r="P86" s="78">
        <v>4.0870704515929694E-17</v>
      </c>
      <c r="Q86" s="78">
        <v>1.6669958221615666</v>
      </c>
      <c r="R86" s="78">
        <v>-4.8268422559541359E-4</v>
      </c>
      <c r="S86" s="78">
        <v>-3.9313438223313682E-8</v>
      </c>
      <c r="T86" s="78">
        <v>8.1828114445907969E-11</v>
      </c>
      <c r="U86" s="78">
        <v>-1.8630953606758453E-14</v>
      </c>
      <c r="V86" s="78">
        <v>1.218931076650145E-18</v>
      </c>
      <c r="W86" s="80">
        <v>4.0599999999999996</v>
      </c>
      <c r="X86" s="80">
        <v>5547</v>
      </c>
      <c r="Y86" s="80">
        <v>5547</v>
      </c>
      <c r="Z86" s="80">
        <v>0.87</v>
      </c>
      <c r="AA86" s="80"/>
      <c r="AB86" s="80">
        <v>466</v>
      </c>
      <c r="AC86" s="81">
        <v>28</v>
      </c>
      <c r="AD86" s="81">
        <v>28</v>
      </c>
      <c r="AE86" s="81"/>
      <c r="AF86" s="80"/>
      <c r="AG86" s="85"/>
      <c r="AH86" s="81"/>
      <c r="AI86" s="86"/>
      <c r="AJ86" s="86"/>
    </row>
    <row r="87" spans="1:36" s="28" customFormat="1" x14ac:dyDescent="0.25">
      <c r="A87" s="14" t="s">
        <v>59</v>
      </c>
      <c r="B87" s="88" t="s">
        <v>245</v>
      </c>
      <c r="C87" s="88" t="s">
        <v>246</v>
      </c>
      <c r="D87" s="70">
        <v>274</v>
      </c>
      <c r="E87" s="70">
        <v>386</v>
      </c>
      <c r="F87" s="70">
        <v>502</v>
      </c>
      <c r="G87" s="71">
        <v>0.48</v>
      </c>
      <c r="H87" s="71">
        <v>5.9</v>
      </c>
      <c r="I87" s="71">
        <v>709</v>
      </c>
      <c r="J87" s="72">
        <v>60</v>
      </c>
      <c r="K87" s="78">
        <v>7.3973348640975747</v>
      </c>
      <c r="L87" s="78">
        <v>2.7306777319011867E-3</v>
      </c>
      <c r="M87" s="78">
        <v>-1.1602469799480167E-4</v>
      </c>
      <c r="N87" s="78">
        <v>4.8561251039764726E-7</v>
      </c>
      <c r="O87" s="78">
        <v>-8.273244570611859E-10</v>
      </c>
      <c r="P87" s="78">
        <v>4.7392869268724864E-13</v>
      </c>
      <c r="Q87" s="78">
        <v>2.4335569155619036E-2</v>
      </c>
      <c r="R87" s="78">
        <v>3.1562236784039621E-5</v>
      </c>
      <c r="S87" s="78">
        <v>-1.5851463661472007E-7</v>
      </c>
      <c r="T87" s="78">
        <v>4.2172025966701424E-10</v>
      </c>
      <c r="U87" s="78">
        <v>-3.8470581429589508E-13</v>
      </c>
      <c r="V87" s="78">
        <v>-1.4517821934765385E-17</v>
      </c>
      <c r="W87" s="80">
        <v>2.72</v>
      </c>
      <c r="X87" s="80">
        <v>5547</v>
      </c>
      <c r="Y87" s="80">
        <v>5547</v>
      </c>
      <c r="Z87" s="80">
        <v>0.5</v>
      </c>
      <c r="AA87" s="80">
        <v>87</v>
      </c>
      <c r="AB87" s="80">
        <v>100</v>
      </c>
      <c r="AC87" s="81"/>
      <c r="AD87" s="81"/>
      <c r="AE87" s="81"/>
      <c r="AF87" s="80"/>
      <c r="AG87" s="85"/>
      <c r="AH87" s="81"/>
      <c r="AI87" s="86"/>
      <c r="AJ87" s="86"/>
    </row>
    <row r="88" spans="1:36" s="28" customFormat="1" x14ac:dyDescent="0.25">
      <c r="A88" s="14" t="s">
        <v>59</v>
      </c>
      <c r="B88" s="88" t="s">
        <v>223</v>
      </c>
      <c r="C88" s="88" t="s">
        <v>247</v>
      </c>
      <c r="D88" s="70">
        <v>26414</v>
      </c>
      <c r="E88" s="70">
        <v>33961</v>
      </c>
      <c r="F88" s="70">
        <v>37734</v>
      </c>
      <c r="G88" s="71">
        <v>0.78</v>
      </c>
      <c r="H88" s="71">
        <v>78</v>
      </c>
      <c r="I88" s="71">
        <v>45281</v>
      </c>
      <c r="J88" s="72">
        <v>60</v>
      </c>
      <c r="K88" s="78">
        <v>89.05577944215355</v>
      </c>
      <c r="L88" s="78">
        <v>-1.6965226219768758E-3</v>
      </c>
      <c r="M88" s="78">
        <v>2.0279566747332939E-7</v>
      </c>
      <c r="N88" s="78">
        <v>-1.4716660673624994E-11</v>
      </c>
      <c r="O88" s="78">
        <v>4.9027085836430916E-16</v>
      </c>
      <c r="P88" s="78">
        <v>-5.9005375084962286E-21</v>
      </c>
      <c r="Q88" s="78">
        <v>12.628836012999102</v>
      </c>
      <c r="R88" s="78">
        <v>8.9277948165837119E-4</v>
      </c>
      <c r="S88" s="78">
        <v>-1.336897711747688E-7</v>
      </c>
      <c r="T88" s="78">
        <v>8.988146604751911E-12</v>
      </c>
      <c r="U88" s="78">
        <v>-2.3419110513588372E-16</v>
      </c>
      <c r="V88" s="78">
        <v>2.1027731614202994E-21</v>
      </c>
      <c r="W88" s="80">
        <v>6.77</v>
      </c>
      <c r="X88" s="80"/>
      <c r="Y88" s="80"/>
      <c r="Z88" s="80"/>
      <c r="AA88" s="80"/>
      <c r="AB88" s="80"/>
      <c r="AC88" s="81"/>
      <c r="AD88" s="81"/>
      <c r="AE88" s="81"/>
      <c r="AF88" s="80"/>
      <c r="AG88" s="85"/>
      <c r="AH88" s="81"/>
      <c r="AI88" s="86"/>
      <c r="AJ88" s="86"/>
    </row>
    <row r="89" spans="1:36" s="28" customFormat="1" x14ac:dyDescent="0.25">
      <c r="A89" s="14" t="s">
        <v>59</v>
      </c>
      <c r="B89" s="69" t="s">
        <v>64</v>
      </c>
      <c r="C89" s="69" t="s">
        <v>66</v>
      </c>
      <c r="D89" s="70">
        <v>149</v>
      </c>
      <c r="E89" s="70">
        <v>375</v>
      </c>
      <c r="F89" s="70">
        <v>491</v>
      </c>
      <c r="G89" s="71">
        <v>0.71</v>
      </c>
      <c r="H89" s="71">
        <v>20</v>
      </c>
      <c r="I89" s="71">
        <v>753</v>
      </c>
      <c r="J89" s="72">
        <v>60</v>
      </c>
      <c r="K89" s="78">
        <v>37.663856735002497</v>
      </c>
      <c r="L89" s="78">
        <v>-0.32091950752994824</v>
      </c>
      <c r="M89" s="78">
        <v>2.2630351327574826E-3</v>
      </c>
      <c r="N89" s="78">
        <v>-6.8905230196365064E-6</v>
      </c>
      <c r="O89" s="78">
        <v>9.1897373627594526E-9</v>
      </c>
      <c r="P89" s="78">
        <v>-4.5083136291071956E-12</v>
      </c>
      <c r="Q89" s="78">
        <v>3.4936389495749197E-2</v>
      </c>
      <c r="R89" s="78">
        <v>1.670620586319772E-4</v>
      </c>
      <c r="S89" s="78">
        <v>-2.3789707037839468E-7</v>
      </c>
      <c r="T89" s="78">
        <v>2.8828376521937262E-10</v>
      </c>
      <c r="U89" s="78">
        <v>-4.4943655276782578E-14</v>
      </c>
      <c r="V89" s="78">
        <v>-2.0358493907785658E-16</v>
      </c>
      <c r="W89" s="80">
        <v>3.62</v>
      </c>
      <c r="X89" s="80">
        <v>5547</v>
      </c>
      <c r="Y89" s="80">
        <v>5547</v>
      </c>
      <c r="Z89" s="80">
        <v>0.67</v>
      </c>
      <c r="AA89" s="80">
        <v>193</v>
      </c>
      <c r="AB89" s="80">
        <v>217</v>
      </c>
      <c r="AC89" s="81">
        <v>96</v>
      </c>
      <c r="AD89" s="81">
        <v>200</v>
      </c>
      <c r="AE89" s="81"/>
      <c r="AF89" s="80"/>
      <c r="AG89" s="85"/>
      <c r="AH89" s="81"/>
      <c r="AI89" s="86"/>
      <c r="AJ89" s="86"/>
    </row>
    <row r="90" spans="1:36" s="28" customFormat="1" x14ac:dyDescent="0.25">
      <c r="A90" s="14" t="s">
        <v>59</v>
      </c>
      <c r="B90" s="69" t="s">
        <v>97</v>
      </c>
      <c r="C90" s="69" t="s">
        <v>248</v>
      </c>
      <c r="D90" s="70">
        <v>1020</v>
      </c>
      <c r="E90" s="70">
        <v>1489</v>
      </c>
      <c r="F90" s="70">
        <v>1852</v>
      </c>
      <c r="G90" s="71">
        <v>0.65</v>
      </c>
      <c r="H90" s="71">
        <v>31.1</v>
      </c>
      <c r="I90" s="71">
        <v>2487</v>
      </c>
      <c r="J90" s="72">
        <v>60</v>
      </c>
      <c r="K90" s="78">
        <v>32.185522784929404</v>
      </c>
      <c r="L90" s="78">
        <v>1.3916947718296104E-2</v>
      </c>
      <c r="M90" s="78">
        <v>-4.7838198831165601E-5</v>
      </c>
      <c r="N90" s="78">
        <v>5.7123754566571494E-8</v>
      </c>
      <c r="O90" s="78">
        <v>-2.9305930575070848E-11</v>
      </c>
      <c r="P90" s="78">
        <v>4.9494460362189896E-15</v>
      </c>
      <c r="Q90" s="78">
        <v>0.22159470533837156</v>
      </c>
      <c r="R90" s="78">
        <v>2.7633377475918023E-4</v>
      </c>
      <c r="S90" s="78">
        <v>-4.1820720521143976E-7</v>
      </c>
      <c r="T90" s="78">
        <v>6.2468500088431439E-10</v>
      </c>
      <c r="U90" s="78">
        <v>-3.7049249110472052E-13</v>
      </c>
      <c r="V90" s="78">
        <v>7.1298259269499555E-17</v>
      </c>
      <c r="W90" s="80">
        <v>4.0599999999999996</v>
      </c>
      <c r="X90" s="80">
        <v>6000</v>
      </c>
      <c r="Y90" s="80">
        <v>6000</v>
      </c>
      <c r="Z90" s="80">
        <v>0.67</v>
      </c>
      <c r="AA90" s="80">
        <v>193</v>
      </c>
      <c r="AB90" s="80">
        <v>217</v>
      </c>
      <c r="AC90" s="81">
        <v>34</v>
      </c>
      <c r="AD90" s="81">
        <v>63</v>
      </c>
      <c r="AE90" s="81"/>
      <c r="AF90" s="80">
        <v>20.6</v>
      </c>
      <c r="AG90" s="85"/>
      <c r="AH90" s="81"/>
      <c r="AI90" s="86"/>
      <c r="AJ90" s="86"/>
    </row>
    <row r="91" spans="1:36" s="28" customFormat="1" x14ac:dyDescent="0.25">
      <c r="A91" s="14" t="s">
        <v>59</v>
      </c>
      <c r="B91" s="69" t="s">
        <v>97</v>
      </c>
      <c r="C91" s="69" t="s">
        <v>71</v>
      </c>
      <c r="D91" s="70">
        <v>983</v>
      </c>
      <c r="E91" s="70">
        <v>1229</v>
      </c>
      <c r="F91" s="70">
        <v>1511</v>
      </c>
      <c r="G91" s="71">
        <v>0.65</v>
      </c>
      <c r="H91" s="71">
        <v>30.1</v>
      </c>
      <c r="I91" s="71">
        <v>2072</v>
      </c>
      <c r="J91" s="72">
        <v>60</v>
      </c>
      <c r="K91" s="78">
        <v>32.316645425091863</v>
      </c>
      <c r="L91" s="78">
        <v>7.0675561604938188E-3</v>
      </c>
      <c r="M91" s="78">
        <v>-3.0145469884278792E-5</v>
      </c>
      <c r="N91" s="78">
        <v>4.5526676307283228E-8</v>
      </c>
      <c r="O91" s="78">
        <v>-3.1423942983610891E-11</v>
      </c>
      <c r="P91" s="78">
        <v>6.7811454275055818E-15</v>
      </c>
      <c r="Q91" s="78">
        <v>0.18709192874193314</v>
      </c>
      <c r="R91" s="78">
        <v>1.3217365016635947E-4</v>
      </c>
      <c r="S91" s="78">
        <v>1.4318279443381953E-7</v>
      </c>
      <c r="T91" s="78">
        <v>-1.3130206415636335E-10</v>
      </c>
      <c r="U91" s="78">
        <v>2.4114534238667887E-14</v>
      </c>
      <c r="V91" s="78">
        <v>-2.4228097638110822E-19</v>
      </c>
      <c r="W91" s="80">
        <v>4.0599999999999996</v>
      </c>
      <c r="X91" s="80">
        <v>5547</v>
      </c>
      <c r="Y91" s="80">
        <v>5547</v>
      </c>
      <c r="Z91" s="80">
        <v>0.67</v>
      </c>
      <c r="AA91" s="80">
        <v>193</v>
      </c>
      <c r="AB91" s="80">
        <v>217</v>
      </c>
      <c r="AC91" s="81">
        <v>41</v>
      </c>
      <c r="AD91" s="81">
        <v>77</v>
      </c>
      <c r="AE91" s="81"/>
      <c r="AF91" s="80">
        <v>21.2</v>
      </c>
      <c r="AG91" s="85"/>
      <c r="AH91" s="81"/>
      <c r="AI91" s="86"/>
      <c r="AJ91" s="86"/>
    </row>
    <row r="92" spans="1:36" s="28" customFormat="1" ht="13.2" x14ac:dyDescent="0.25">
      <c r="A92" s="14" t="s">
        <v>523</v>
      </c>
      <c r="B92" s="89" t="s">
        <v>83</v>
      </c>
      <c r="C92" s="90" t="s">
        <v>115</v>
      </c>
      <c r="D92" s="89">
        <v>200</v>
      </c>
      <c r="E92" s="89">
        <v>552</v>
      </c>
      <c r="F92" s="89">
        <v>700</v>
      </c>
      <c r="G92" s="89">
        <v>0.53090878038887912</v>
      </c>
      <c r="H92" s="91">
        <v>22.604233000000001</v>
      </c>
      <c r="I92" s="89">
        <v>861</v>
      </c>
      <c r="J92" s="72">
        <v>60</v>
      </c>
      <c r="K92" s="92">
        <v>22.604233000000001</v>
      </c>
      <c r="L92" s="92">
        <v>1.44601972E-2</v>
      </c>
      <c r="M92" s="92">
        <v>-1.3442894000000001E-4</v>
      </c>
      <c r="N92" s="92">
        <v>4.38053084E-7</v>
      </c>
      <c r="O92" s="92">
        <v>-6.8574703099999998E-10</v>
      </c>
      <c r="P92" s="92">
        <v>3.42561771E-13</v>
      </c>
      <c r="Q92" s="92">
        <v>7.9637593399999998E-2</v>
      </c>
      <c r="R92" s="92">
        <v>6.6497960499999994E-5</v>
      </c>
      <c r="S92" s="92">
        <v>7.9309888699999996E-7</v>
      </c>
      <c r="T92" s="92">
        <v>-2.3053559499999999E-9</v>
      </c>
      <c r="U92" s="92">
        <v>1.9430177999999999E-12</v>
      </c>
      <c r="V92" s="92">
        <v>-3.7484523400000002E-16</v>
      </c>
      <c r="W92" s="82">
        <v>3.38</v>
      </c>
      <c r="X92" s="82">
        <v>6000</v>
      </c>
      <c r="Y92" s="82">
        <v>6000</v>
      </c>
      <c r="Z92" s="82">
        <v>0.625</v>
      </c>
      <c r="AA92" s="82">
        <v>150</v>
      </c>
      <c r="AB92" s="82">
        <v>188</v>
      </c>
      <c r="AC92" s="83">
        <v>16</v>
      </c>
      <c r="AD92" s="83">
        <v>190</v>
      </c>
      <c r="AE92" s="83">
        <v>19.3333333333333</v>
      </c>
      <c r="AF92" s="82">
        <v>5700</v>
      </c>
      <c r="AG92" s="85"/>
      <c r="AH92" s="81"/>
      <c r="AI92" s="86"/>
      <c r="AJ92" s="86"/>
    </row>
    <row r="93" spans="1:36" s="28" customFormat="1" ht="13.2" x14ac:dyDescent="0.25">
      <c r="A93" s="14" t="s">
        <v>523</v>
      </c>
      <c r="B93" s="89" t="s">
        <v>83</v>
      </c>
      <c r="C93" s="90" t="s">
        <v>116</v>
      </c>
      <c r="D93" s="89">
        <v>350</v>
      </c>
      <c r="E93" s="89">
        <v>922</v>
      </c>
      <c r="F93" s="89">
        <v>1060</v>
      </c>
      <c r="G93" s="89">
        <v>0.55799181630488237</v>
      </c>
      <c r="H93" s="91">
        <v>21.785012699999999</v>
      </c>
      <c r="I93" s="89">
        <v>1450</v>
      </c>
      <c r="J93" s="72">
        <v>60</v>
      </c>
      <c r="K93" s="92">
        <v>21.785012699999999</v>
      </c>
      <c r="L93" s="92">
        <v>-7.7830342400000002E-3</v>
      </c>
      <c r="M93" s="92">
        <v>-5.3186674099999997E-6</v>
      </c>
      <c r="N93" s="92">
        <v>2.82159516E-8</v>
      </c>
      <c r="O93" s="92">
        <v>-3.7108357000000003E-11</v>
      </c>
      <c r="P93" s="92">
        <v>1.2313062699999999E-14</v>
      </c>
      <c r="Q93" s="92">
        <v>0.11031558900000001</v>
      </c>
      <c r="R93" s="92">
        <v>1.04259843E-4</v>
      </c>
      <c r="S93" s="92">
        <v>-1.1081542E-7</v>
      </c>
      <c r="T93" s="92">
        <v>3.0809075500000002E-10</v>
      </c>
      <c r="U93" s="92">
        <v>-3.8885669400000002E-13</v>
      </c>
      <c r="V93" s="92">
        <v>1.3869641999999999E-16</v>
      </c>
      <c r="W93" s="82">
        <v>3.38</v>
      </c>
      <c r="X93" s="82">
        <v>6000</v>
      </c>
      <c r="Y93" s="82">
        <v>6000</v>
      </c>
      <c r="Z93" s="82">
        <v>0.625</v>
      </c>
      <c r="AA93" s="82">
        <v>150</v>
      </c>
      <c r="AB93" s="82">
        <v>188</v>
      </c>
      <c r="AC93" s="83">
        <v>16</v>
      </c>
      <c r="AD93" s="83">
        <v>190</v>
      </c>
      <c r="AE93" s="83">
        <v>19.3333333333333</v>
      </c>
      <c r="AF93" s="82">
        <v>5700</v>
      </c>
      <c r="AG93" s="85"/>
      <c r="AH93" s="81"/>
      <c r="AI93" s="86"/>
      <c r="AJ93" s="86"/>
    </row>
    <row r="94" spans="1:36" s="28" customFormat="1" ht="13.2" x14ac:dyDescent="0.25">
      <c r="A94" s="14" t="s">
        <v>523</v>
      </c>
      <c r="B94" s="89" t="s">
        <v>83</v>
      </c>
      <c r="C94" s="90" t="s">
        <v>117</v>
      </c>
      <c r="D94" s="89">
        <v>450</v>
      </c>
      <c r="E94" s="89">
        <v>1160</v>
      </c>
      <c r="F94" s="89">
        <v>1500</v>
      </c>
      <c r="G94" s="89">
        <v>0.55691000000000002</v>
      </c>
      <c r="H94" s="91">
        <v>22.14</v>
      </c>
      <c r="I94" s="89">
        <v>1810</v>
      </c>
      <c r="J94" s="72">
        <v>60</v>
      </c>
      <c r="K94" s="92">
        <v>22.139900000000001</v>
      </c>
      <c r="L94" s="92">
        <v>-5.1185500000000004E-3</v>
      </c>
      <c r="M94" s="92">
        <v>6.71993E-7</v>
      </c>
      <c r="N94" s="92">
        <v>1.5616799999999999E-9</v>
      </c>
      <c r="O94" s="92">
        <v>-4.1918800000000001E-12</v>
      </c>
      <c r="P94" s="92">
        <v>1.1786000000000001E-15</v>
      </c>
      <c r="Q94" s="92">
        <v>0.12457600000000001</v>
      </c>
      <c r="R94" s="92">
        <v>-3.9732999999999997E-6</v>
      </c>
      <c r="S94" s="92">
        <v>5.6860700000000003E-7</v>
      </c>
      <c r="T94" s="92">
        <v>-8.3691199999999997E-10</v>
      </c>
      <c r="U94" s="92">
        <v>4.5461099999999999E-13</v>
      </c>
      <c r="V94" s="92">
        <v>-8.6123500000000006E-17</v>
      </c>
      <c r="W94" s="82">
        <v>3.38</v>
      </c>
      <c r="X94" s="82">
        <v>6000</v>
      </c>
      <c r="Y94" s="82">
        <v>6000</v>
      </c>
      <c r="Z94" s="82">
        <v>0.625</v>
      </c>
      <c r="AA94" s="82">
        <v>150</v>
      </c>
      <c r="AB94" s="82">
        <v>188</v>
      </c>
      <c r="AC94" s="83">
        <v>13</v>
      </c>
      <c r="AD94" s="83">
        <v>156</v>
      </c>
      <c r="AE94" s="83">
        <v>15.888888888888886</v>
      </c>
      <c r="AF94" s="82">
        <v>5700</v>
      </c>
      <c r="AG94" s="85"/>
      <c r="AH94" s="81"/>
      <c r="AI94" s="86"/>
      <c r="AJ94" s="86"/>
    </row>
    <row r="95" spans="1:36" s="28" customFormat="1" ht="13.2" x14ac:dyDescent="0.25">
      <c r="A95" s="14" t="s">
        <v>523</v>
      </c>
      <c r="B95" s="89" t="s">
        <v>83</v>
      </c>
      <c r="C95" s="90" t="s">
        <v>118</v>
      </c>
      <c r="D95" s="89">
        <v>500</v>
      </c>
      <c r="E95" s="89">
        <v>1630</v>
      </c>
      <c r="F95" s="89">
        <v>2000</v>
      </c>
      <c r="G95" s="89">
        <v>0.4759358186009901</v>
      </c>
      <c r="H95" s="91">
        <v>18.989899999999999</v>
      </c>
      <c r="I95" s="89">
        <v>2750</v>
      </c>
      <c r="J95" s="72">
        <v>60</v>
      </c>
      <c r="K95" s="92">
        <v>18.989899999999999</v>
      </c>
      <c r="L95" s="92">
        <v>-2.0899999999999998E-3</v>
      </c>
      <c r="M95" s="92">
        <v>-1.4658100000000001E-6</v>
      </c>
      <c r="N95" s="92">
        <v>1.09507E-9</v>
      </c>
      <c r="O95" s="92">
        <v>-6.4090899999999997E-13</v>
      </c>
      <c r="P95" s="92">
        <v>8.71699E-17</v>
      </c>
      <c r="Q95" s="92">
        <v>0.17513999999999999</v>
      </c>
      <c r="R95" s="92">
        <v>4.6609500000000002E-5</v>
      </c>
      <c r="S95" s="92">
        <v>1.7945999999999999E-7</v>
      </c>
      <c r="T95" s="92">
        <v>-1.7248300000000001E-10</v>
      </c>
      <c r="U95" s="92">
        <v>6.1671499999999999E-14</v>
      </c>
      <c r="V95" s="92">
        <v>-7.9244700000000005E-18</v>
      </c>
      <c r="W95" s="82">
        <v>3.38</v>
      </c>
      <c r="X95" s="82">
        <v>6000</v>
      </c>
      <c r="Y95" s="84">
        <v>6000</v>
      </c>
      <c r="Z95" s="82">
        <v>0.68799999999999994</v>
      </c>
      <c r="AA95" s="82">
        <v>200</v>
      </c>
      <c r="AB95" s="82">
        <v>250</v>
      </c>
      <c r="AC95" s="83">
        <v>10</v>
      </c>
      <c r="AD95" s="83">
        <v>123</v>
      </c>
      <c r="AE95" s="83">
        <v>12.555555555555543</v>
      </c>
      <c r="AF95" s="82">
        <v>5700</v>
      </c>
      <c r="AG95" s="85"/>
      <c r="AH95" s="81"/>
      <c r="AI95" s="86"/>
      <c r="AJ95" s="86"/>
    </row>
    <row r="96" spans="1:36" s="28" customFormat="1" ht="13.2" x14ac:dyDescent="0.25">
      <c r="A96" s="14" t="s">
        <v>523</v>
      </c>
      <c r="B96" s="89" t="s">
        <v>119</v>
      </c>
      <c r="C96" s="90" t="s">
        <v>120</v>
      </c>
      <c r="D96" s="89">
        <v>50</v>
      </c>
      <c r="E96" s="89">
        <v>363</v>
      </c>
      <c r="F96" s="89">
        <v>450</v>
      </c>
      <c r="G96" s="89">
        <v>0.45787981689881946</v>
      </c>
      <c r="H96" s="91">
        <v>23.963439999999999</v>
      </c>
      <c r="I96" s="89">
        <v>600</v>
      </c>
      <c r="J96" s="72">
        <v>60</v>
      </c>
      <c r="K96" s="92">
        <v>23.963439999999999</v>
      </c>
      <c r="L96" s="92">
        <v>-4.3400000000000001E-3</v>
      </c>
      <c r="M96" s="92">
        <v>9.7200000000000004E-5</v>
      </c>
      <c r="N96" s="92">
        <v>-6.6300000000000005E-7</v>
      </c>
      <c r="O96" s="92">
        <v>1.09E-9</v>
      </c>
      <c r="P96" s="92">
        <v>-6.2299999999999997E-13</v>
      </c>
      <c r="Q96" s="92">
        <v>7.3010000000000005E-2</v>
      </c>
      <c r="R96" s="92">
        <v>-4.8300000000000002E-5</v>
      </c>
      <c r="S96" s="92">
        <v>1.4699999999999999E-6</v>
      </c>
      <c r="T96" s="92">
        <v>-5.0199999999999996E-9</v>
      </c>
      <c r="U96" s="92">
        <v>7.0299999999999997E-12</v>
      </c>
      <c r="V96" s="92">
        <v>-3.7099999999999999E-15</v>
      </c>
      <c r="W96" s="82">
        <v>4</v>
      </c>
      <c r="X96" s="82">
        <v>6000</v>
      </c>
      <c r="Y96" s="84">
        <v>6000</v>
      </c>
      <c r="Z96" s="82">
        <v>0.625</v>
      </c>
      <c r="AA96" s="82">
        <v>150</v>
      </c>
      <c r="AB96" s="82">
        <v>188</v>
      </c>
      <c r="AC96" s="83">
        <v>13</v>
      </c>
      <c r="AD96" s="83">
        <v>91</v>
      </c>
      <c r="AE96" s="83">
        <v>15.600000000000001</v>
      </c>
      <c r="AF96" s="82">
        <v>5700</v>
      </c>
      <c r="AG96" s="85"/>
      <c r="AH96" s="81"/>
      <c r="AI96" s="86"/>
      <c r="AJ96" s="86"/>
    </row>
    <row r="97" spans="1:36" s="28" customFormat="1" ht="13.2" x14ac:dyDescent="0.25">
      <c r="A97" s="14" t="s">
        <v>523</v>
      </c>
      <c r="B97" s="89" t="s">
        <v>119</v>
      </c>
      <c r="C97" s="90" t="s">
        <v>121</v>
      </c>
      <c r="D97" s="89">
        <v>70</v>
      </c>
      <c r="E97" s="89">
        <v>455</v>
      </c>
      <c r="F97" s="89">
        <v>550</v>
      </c>
      <c r="G97" s="89">
        <v>0.43099999999999999</v>
      </c>
      <c r="H97" s="91">
        <v>28.14</v>
      </c>
      <c r="I97" s="89">
        <v>700</v>
      </c>
      <c r="J97" s="72">
        <v>60</v>
      </c>
      <c r="K97" s="92">
        <v>28.141310000000001</v>
      </c>
      <c r="L97" s="92">
        <v>3.3128350000000001E-3</v>
      </c>
      <c r="M97" s="92">
        <v>-9.7034940000000004E-5</v>
      </c>
      <c r="N97" s="92">
        <v>1.971144E-7</v>
      </c>
      <c r="O97" s="92">
        <v>-2.747597E-10</v>
      </c>
      <c r="P97" s="92">
        <v>8.2934300000000002E-14</v>
      </c>
      <c r="Q97" s="92">
        <v>0.1107467</v>
      </c>
      <c r="R97" s="92">
        <v>-4.3816219999999997E-5</v>
      </c>
      <c r="S97" s="92">
        <v>1.099484E-6</v>
      </c>
      <c r="T97" s="92">
        <v>-2.400981E-9</v>
      </c>
      <c r="U97" s="92">
        <v>7.3250529999999999E-13</v>
      </c>
      <c r="V97" s="92">
        <v>8.1686039999999995E-16</v>
      </c>
      <c r="W97" s="82">
        <v>4</v>
      </c>
      <c r="X97" s="84">
        <v>6000</v>
      </c>
      <c r="Y97" s="84">
        <v>6000</v>
      </c>
      <c r="Z97" s="82">
        <v>0.625</v>
      </c>
      <c r="AA97" s="82">
        <v>150</v>
      </c>
      <c r="AB97" s="82">
        <v>188</v>
      </c>
      <c r="AC97" s="83">
        <v>15</v>
      </c>
      <c r="AD97" s="83">
        <v>104</v>
      </c>
      <c r="AE97" s="83">
        <v>17.8</v>
      </c>
      <c r="AF97" s="82">
        <v>5700</v>
      </c>
      <c r="AG97" s="85"/>
      <c r="AH97" s="81"/>
      <c r="AI97" s="86"/>
      <c r="AJ97" s="86"/>
    </row>
    <row r="98" spans="1:36" s="28" customFormat="1" ht="13.2" x14ac:dyDescent="0.25">
      <c r="A98" s="14" t="s">
        <v>523</v>
      </c>
      <c r="B98" s="89" t="s">
        <v>119</v>
      </c>
      <c r="C98" s="90" t="s">
        <v>122</v>
      </c>
      <c r="D98" s="89">
        <v>150</v>
      </c>
      <c r="E98" s="89">
        <v>640</v>
      </c>
      <c r="F98" s="89">
        <v>800</v>
      </c>
      <c r="G98" s="89">
        <v>0.5862845546454144</v>
      </c>
      <c r="H98" s="91">
        <v>33.338518100000002</v>
      </c>
      <c r="I98" s="89">
        <v>1160</v>
      </c>
      <c r="J98" s="72">
        <v>60</v>
      </c>
      <c r="K98" s="92">
        <v>33.338518100000002</v>
      </c>
      <c r="L98" s="92">
        <v>-6.1049990099999998E-3</v>
      </c>
      <c r="M98" s="92">
        <v>5.4748257899999999E-5</v>
      </c>
      <c r="N98" s="92">
        <v>-1.4073991599999999E-7</v>
      </c>
      <c r="O98" s="92">
        <v>8.5515556200000006E-11</v>
      </c>
      <c r="P98" s="92">
        <v>-1.65132626E-14</v>
      </c>
      <c r="Q98" s="92">
        <v>0.13033218499999999</v>
      </c>
      <c r="R98" s="92">
        <v>7.1151576100000004E-5</v>
      </c>
      <c r="S98" s="92">
        <v>4.6697482199999997E-7</v>
      </c>
      <c r="T98" s="92">
        <v>-8.5052040100000004E-10</v>
      </c>
      <c r="U98" s="92">
        <v>5.4116566200000004E-13</v>
      </c>
      <c r="V98" s="92">
        <v>-1.2995610400000001E-16</v>
      </c>
      <c r="W98" s="82">
        <v>4</v>
      </c>
      <c r="X98" s="82">
        <v>6000</v>
      </c>
      <c r="Y98" s="84">
        <v>6000</v>
      </c>
      <c r="Z98" s="82">
        <v>0.625</v>
      </c>
      <c r="AA98" s="82">
        <v>150</v>
      </c>
      <c r="AB98" s="82">
        <v>188</v>
      </c>
      <c r="AC98" s="83">
        <v>15</v>
      </c>
      <c r="AD98" s="83">
        <v>86</v>
      </c>
      <c r="AE98" s="83">
        <v>17.8</v>
      </c>
      <c r="AF98" s="82">
        <v>5700</v>
      </c>
      <c r="AG98" s="85"/>
      <c r="AH98" s="81"/>
      <c r="AI98" s="86"/>
      <c r="AJ98" s="86"/>
    </row>
    <row r="99" spans="1:36" s="28" customFormat="1" ht="13.2" x14ac:dyDescent="0.25">
      <c r="A99" s="14" t="s">
        <v>523</v>
      </c>
      <c r="B99" s="89" t="s">
        <v>119</v>
      </c>
      <c r="C99" s="90" t="s">
        <v>123</v>
      </c>
      <c r="D99" s="89">
        <v>300</v>
      </c>
      <c r="E99" s="89">
        <v>838</v>
      </c>
      <c r="F99" s="89">
        <v>1020</v>
      </c>
      <c r="G99" s="89">
        <v>0.60320464046272981</v>
      </c>
      <c r="H99" s="91">
        <v>33.757369531000002</v>
      </c>
      <c r="I99" s="89">
        <v>1430</v>
      </c>
      <c r="J99" s="72">
        <v>60</v>
      </c>
      <c r="K99" s="92">
        <v>33.757369531000002</v>
      </c>
      <c r="L99" s="92">
        <v>5.4031385147999995E-4</v>
      </c>
      <c r="M99" s="92">
        <v>-1.0904320834999999E-6</v>
      </c>
      <c r="N99" s="92">
        <v>-3.0109235387999998E-9</v>
      </c>
      <c r="O99" s="92">
        <v>-9.2769563073999997E-12</v>
      </c>
      <c r="P99" s="92">
        <v>2.5824023184999998E-15</v>
      </c>
      <c r="Q99" s="92">
        <v>0.21763622722609999</v>
      </c>
      <c r="R99" s="92">
        <v>1.044436343026E-4</v>
      </c>
      <c r="S99" s="92">
        <v>-3.5550125411449998E-7</v>
      </c>
      <c r="T99" s="92">
        <v>8.5161954814929997E-10</v>
      </c>
      <c r="U99" s="92">
        <v>-7.0103280818139998E-13</v>
      </c>
      <c r="V99" s="92">
        <v>1.8570586225650001E-16</v>
      </c>
      <c r="W99" s="82">
        <v>4</v>
      </c>
      <c r="X99" s="82">
        <v>6000</v>
      </c>
      <c r="Y99" s="84">
        <v>6000</v>
      </c>
      <c r="Z99" s="82">
        <v>0.625</v>
      </c>
      <c r="AA99" s="82">
        <v>150</v>
      </c>
      <c r="AB99" s="82">
        <v>188</v>
      </c>
      <c r="AC99" s="83">
        <v>14</v>
      </c>
      <c r="AD99" s="83">
        <v>96</v>
      </c>
      <c r="AE99" s="83">
        <v>16.399999999999995</v>
      </c>
      <c r="AF99" s="82">
        <v>5700</v>
      </c>
      <c r="AG99" s="85"/>
      <c r="AH99" s="81"/>
      <c r="AI99" s="86"/>
      <c r="AJ99" s="86"/>
    </row>
    <row r="100" spans="1:36" s="28" customFormat="1" ht="13.2" x14ac:dyDescent="0.25">
      <c r="A100" s="14" t="s">
        <v>523</v>
      </c>
      <c r="B100" s="89" t="s">
        <v>119</v>
      </c>
      <c r="C100" s="89" t="s">
        <v>124</v>
      </c>
      <c r="D100" s="89">
        <v>250</v>
      </c>
      <c r="E100" s="89">
        <v>1067</v>
      </c>
      <c r="F100" s="89">
        <v>1300</v>
      </c>
      <c r="G100" s="89">
        <v>0.55430000000000001</v>
      </c>
      <c r="H100" s="91">
        <v>33.299999999999997</v>
      </c>
      <c r="I100" s="89">
        <v>1530</v>
      </c>
      <c r="J100" s="72">
        <v>60</v>
      </c>
      <c r="K100" s="92">
        <v>33.299999999999997</v>
      </c>
      <c r="L100" s="92">
        <v>-2.0799999999999999E-2</v>
      </c>
      <c r="M100" s="92">
        <v>6.2199999999999994E-5</v>
      </c>
      <c r="N100" s="92">
        <v>-6.7700000000000004E-8</v>
      </c>
      <c r="O100" s="92">
        <v>2.4299999999999999E-11</v>
      </c>
      <c r="P100" s="92">
        <v>-4.4800000000000002E-15</v>
      </c>
      <c r="Q100" s="92">
        <v>0.185</v>
      </c>
      <c r="R100" s="92">
        <v>1.76E-4</v>
      </c>
      <c r="S100" s="92">
        <v>-2.85E-8</v>
      </c>
      <c r="T100" s="92">
        <v>5.39E-10</v>
      </c>
      <c r="U100" s="92">
        <v>-7.8399999999999999E-13</v>
      </c>
      <c r="V100" s="92">
        <v>2.73E-16</v>
      </c>
      <c r="W100" s="82">
        <v>4</v>
      </c>
      <c r="X100" s="82">
        <v>6000</v>
      </c>
      <c r="Y100" s="84">
        <v>6000</v>
      </c>
      <c r="Z100" s="82">
        <v>0.68799999999999994</v>
      </c>
      <c r="AA100" s="82">
        <v>200</v>
      </c>
      <c r="AB100" s="82">
        <v>250</v>
      </c>
      <c r="AC100" s="83">
        <v>15</v>
      </c>
      <c r="AD100" s="83">
        <v>87</v>
      </c>
      <c r="AE100" s="83">
        <v>18</v>
      </c>
      <c r="AF100" s="82">
        <v>5700</v>
      </c>
      <c r="AG100" s="85"/>
      <c r="AH100" s="81"/>
      <c r="AI100" s="86"/>
      <c r="AJ100" s="86"/>
    </row>
    <row r="101" spans="1:36" s="28" customFormat="1" ht="13.2" x14ac:dyDescent="0.25">
      <c r="A101" s="14" t="s">
        <v>523</v>
      </c>
      <c r="B101" s="93" t="s">
        <v>119</v>
      </c>
      <c r="C101" s="93" t="s">
        <v>125</v>
      </c>
      <c r="D101" s="93">
        <v>200</v>
      </c>
      <c r="E101" s="93">
        <v>1160</v>
      </c>
      <c r="F101" s="93">
        <v>1570</v>
      </c>
      <c r="G101" s="93">
        <v>0.57369999999999999</v>
      </c>
      <c r="H101" s="94">
        <v>40</v>
      </c>
      <c r="I101" s="93">
        <v>2000</v>
      </c>
      <c r="J101" s="72">
        <v>60</v>
      </c>
      <c r="K101" s="95">
        <v>39.6</v>
      </c>
      <c r="L101" s="95">
        <v>-7.4000000000000003E-3</v>
      </c>
      <c r="M101" s="95">
        <v>2.4899999999999999E-6</v>
      </c>
      <c r="N101" s="95">
        <v>2.1900000000000001E-9</v>
      </c>
      <c r="O101" s="95">
        <v>-7.9500000000000007E-12</v>
      </c>
      <c r="P101" s="95">
        <v>2.2999999999999999E-15</v>
      </c>
      <c r="Q101" s="95">
        <v>0.31900000000000001</v>
      </c>
      <c r="R101" s="95">
        <v>-7.08E-5</v>
      </c>
      <c r="S101" s="95">
        <v>4.08E-7</v>
      </c>
      <c r="T101" s="95">
        <v>-3.2099999999999998E-10</v>
      </c>
      <c r="U101" s="95">
        <v>6.6800000000000003E-14</v>
      </c>
      <c r="V101" s="95">
        <v>2.2699999999999999E-18</v>
      </c>
      <c r="W101" s="84">
        <v>4</v>
      </c>
      <c r="X101" s="82">
        <v>6000</v>
      </c>
      <c r="Y101" s="84">
        <v>6000</v>
      </c>
      <c r="Z101" s="84">
        <v>0.68799999999999994</v>
      </c>
      <c r="AA101" s="82">
        <v>200</v>
      </c>
      <c r="AB101" s="82">
        <v>250</v>
      </c>
      <c r="AC101" s="83">
        <v>7</v>
      </c>
      <c r="AD101" s="83">
        <v>132</v>
      </c>
      <c r="AE101" s="83">
        <v>8.9285714285714377</v>
      </c>
      <c r="AF101" s="82">
        <v>5700</v>
      </c>
      <c r="AG101" s="85"/>
      <c r="AH101" s="81"/>
      <c r="AI101" s="86"/>
      <c r="AJ101" s="86"/>
    </row>
    <row r="102" spans="1:36" s="28" customFormat="1" ht="13.2" x14ac:dyDescent="0.25">
      <c r="A102" s="14" t="s">
        <v>523</v>
      </c>
      <c r="B102" s="93" t="s">
        <v>119</v>
      </c>
      <c r="C102" s="93" t="s">
        <v>126</v>
      </c>
      <c r="D102" s="93">
        <v>300</v>
      </c>
      <c r="E102" s="93">
        <v>1247</v>
      </c>
      <c r="F102" s="93">
        <v>1570</v>
      </c>
      <c r="G102" s="93">
        <v>0.54867331329202718</v>
      </c>
      <c r="H102" s="94">
        <v>29.485676000000002</v>
      </c>
      <c r="I102" s="93">
        <v>1800</v>
      </c>
      <c r="J102" s="72">
        <v>60</v>
      </c>
      <c r="K102" s="95">
        <v>29.485676000000002</v>
      </c>
      <c r="L102" s="95">
        <v>-1.1947417700000001E-2</v>
      </c>
      <c r="M102" s="95">
        <v>1.6638856900000002E-5</v>
      </c>
      <c r="N102" s="95">
        <v>-1.8829735599999999E-8</v>
      </c>
      <c r="O102" s="95">
        <v>1.02770792E-11</v>
      </c>
      <c r="P102" s="95">
        <v>-3.0205674900000001E-15</v>
      </c>
      <c r="Q102" s="95">
        <v>0.193087277</v>
      </c>
      <c r="R102" s="95">
        <v>3.7299792999999999E-5</v>
      </c>
      <c r="S102" s="95">
        <v>7.6069061000000001E-8</v>
      </c>
      <c r="T102" s="95">
        <v>2.5895274699999998E-10</v>
      </c>
      <c r="U102" s="95">
        <v>-3.47210862E-13</v>
      </c>
      <c r="V102" s="95">
        <v>1.02348244E-16</v>
      </c>
      <c r="W102" s="84">
        <v>4</v>
      </c>
      <c r="X102" s="82">
        <v>6000</v>
      </c>
      <c r="Y102" s="84">
        <v>6000</v>
      </c>
      <c r="Z102" s="84">
        <v>0.68799999999999994</v>
      </c>
      <c r="AA102" s="82">
        <v>200</v>
      </c>
      <c r="AB102" s="82">
        <v>250</v>
      </c>
      <c r="AC102" s="83">
        <v>14</v>
      </c>
      <c r="AD102" s="83">
        <v>81</v>
      </c>
      <c r="AE102" s="83">
        <v>16.749999999999996</v>
      </c>
      <c r="AF102" s="82">
        <v>5700</v>
      </c>
      <c r="AG102" s="85"/>
      <c r="AH102" s="81"/>
      <c r="AI102" s="86"/>
      <c r="AJ102" s="86"/>
    </row>
    <row r="103" spans="1:36" s="28" customFormat="1" ht="13.2" x14ac:dyDescent="0.25">
      <c r="A103" s="14" t="s">
        <v>523</v>
      </c>
      <c r="B103" s="68" t="s">
        <v>119</v>
      </c>
      <c r="C103" s="68" t="s">
        <v>127</v>
      </c>
      <c r="D103" s="93">
        <v>400</v>
      </c>
      <c r="E103" s="93">
        <v>1752</v>
      </c>
      <c r="F103" s="93">
        <v>2150</v>
      </c>
      <c r="G103" s="93">
        <v>0.68673709930186644</v>
      </c>
      <c r="H103" s="94">
        <v>29.438551700000001</v>
      </c>
      <c r="I103" s="93">
        <v>2910</v>
      </c>
      <c r="J103" s="72">
        <v>60</v>
      </c>
      <c r="K103" s="92">
        <v>29.438551700000001</v>
      </c>
      <c r="L103" s="92">
        <v>-4.4708823200000003E-3</v>
      </c>
      <c r="M103" s="92">
        <v>-1.49318535E-6</v>
      </c>
      <c r="N103" s="92">
        <v>4.4757285400000003E-9</v>
      </c>
      <c r="O103" s="92">
        <v>-3.17109238E-12</v>
      </c>
      <c r="P103" s="92">
        <v>5.4440954999999999E-16</v>
      </c>
      <c r="Q103" s="92">
        <v>0.25459536999999999</v>
      </c>
      <c r="R103" s="92">
        <v>2.04425681E-5</v>
      </c>
      <c r="S103" s="92">
        <v>5.7463059699999997E-8</v>
      </c>
      <c r="T103" s="92">
        <v>2.36380207E-11</v>
      </c>
      <c r="U103" s="92">
        <v>-3.4181428800000001E-14</v>
      </c>
      <c r="V103" s="92">
        <v>6.4868868799999997E-18</v>
      </c>
      <c r="W103" s="82">
        <v>4</v>
      </c>
      <c r="X103" s="82">
        <v>6000</v>
      </c>
      <c r="Y103" s="84">
        <v>6000</v>
      </c>
      <c r="Z103" s="82">
        <v>0.68799999999999994</v>
      </c>
      <c r="AA103" s="82">
        <v>200</v>
      </c>
      <c r="AB103" s="82">
        <v>250</v>
      </c>
      <c r="AC103" s="83">
        <v>7</v>
      </c>
      <c r="AD103" s="83">
        <v>100</v>
      </c>
      <c r="AE103" s="83">
        <v>8.4545454545454479</v>
      </c>
      <c r="AF103" s="82">
        <v>5700</v>
      </c>
      <c r="AG103" s="85"/>
      <c r="AH103" s="81"/>
      <c r="AI103" s="86"/>
      <c r="AJ103" s="86"/>
    </row>
    <row r="104" spans="1:36" s="28" customFormat="1" ht="13.2" x14ac:dyDescent="0.25">
      <c r="A104" s="14" t="s">
        <v>523</v>
      </c>
      <c r="B104" s="93" t="s">
        <v>119</v>
      </c>
      <c r="C104" s="93" t="s">
        <v>128</v>
      </c>
      <c r="D104" s="93">
        <v>450</v>
      </c>
      <c r="E104" s="93">
        <v>2177</v>
      </c>
      <c r="F104" s="93">
        <v>2800</v>
      </c>
      <c r="G104" s="93">
        <v>0.68040000000000012</v>
      </c>
      <c r="H104" s="94">
        <v>33.250619999999998</v>
      </c>
      <c r="I104" s="93">
        <v>3850</v>
      </c>
      <c r="J104" s="72">
        <v>60</v>
      </c>
      <c r="K104" s="92">
        <v>33.250619999999998</v>
      </c>
      <c r="L104" s="92">
        <v>-8.0164310000000003E-4</v>
      </c>
      <c r="M104" s="92">
        <v>-4.4815789999999996E-6</v>
      </c>
      <c r="N104" s="92">
        <v>3.5018839999999999E-9</v>
      </c>
      <c r="O104" s="92">
        <v>-1.2564890000000001E-12</v>
      </c>
      <c r="P104" s="92">
        <v>1.330146E-16</v>
      </c>
      <c r="Q104" s="92">
        <v>0.38130740000000002</v>
      </c>
      <c r="R104" s="92">
        <v>9.5451780000000005E-5</v>
      </c>
      <c r="S104" s="92">
        <v>-4.5970199999999998E-8</v>
      </c>
      <c r="T104" s="92">
        <v>4.612934E-11</v>
      </c>
      <c r="U104" s="92">
        <v>-1.483404E-14</v>
      </c>
      <c r="V104" s="92">
        <v>1.360429E-18</v>
      </c>
      <c r="W104" s="82">
        <v>4</v>
      </c>
      <c r="X104" s="82">
        <v>6000</v>
      </c>
      <c r="Y104" s="84">
        <v>6000</v>
      </c>
      <c r="Z104" s="82">
        <v>0.68799999999999994</v>
      </c>
      <c r="AA104" s="82">
        <v>200</v>
      </c>
      <c r="AB104" s="82">
        <v>250</v>
      </c>
      <c r="AC104" s="83">
        <v>10</v>
      </c>
      <c r="AD104" s="83">
        <v>85</v>
      </c>
      <c r="AE104" s="83">
        <v>12.500000000000004</v>
      </c>
      <c r="AF104" s="82">
        <v>11000</v>
      </c>
      <c r="AG104" s="85"/>
      <c r="AH104" s="81"/>
      <c r="AI104" s="86"/>
      <c r="AJ104" s="86"/>
    </row>
    <row r="105" spans="1:36" s="28" customFormat="1" ht="13.2" x14ac:dyDescent="0.25">
      <c r="A105" s="14" t="s">
        <v>523</v>
      </c>
      <c r="B105" s="68" t="s">
        <v>119</v>
      </c>
      <c r="C105" s="68" t="s">
        <v>129</v>
      </c>
      <c r="D105" s="93">
        <v>900</v>
      </c>
      <c r="E105" s="93">
        <v>2880</v>
      </c>
      <c r="F105" s="93">
        <v>3700</v>
      </c>
      <c r="G105" s="93">
        <v>0.63261177462213036</v>
      </c>
      <c r="H105" s="94">
        <v>28.034700900000001</v>
      </c>
      <c r="I105" s="93">
        <v>4800</v>
      </c>
      <c r="J105" s="72">
        <v>60</v>
      </c>
      <c r="K105" s="92">
        <v>28.034700900000001</v>
      </c>
      <c r="L105" s="92">
        <v>-4.0106298600000001E-4</v>
      </c>
      <c r="M105" s="92">
        <v>-2.17420004E-6</v>
      </c>
      <c r="N105" s="92">
        <v>8.1987266000000004E-10</v>
      </c>
      <c r="O105" s="92">
        <v>-1.70157601E-13</v>
      </c>
      <c r="P105" s="92">
        <v>9.3141484900000007E-18</v>
      </c>
      <c r="Q105" s="92">
        <v>0.45332085500000002</v>
      </c>
      <c r="R105" s="92">
        <v>7.0179623999999994E-5</v>
      </c>
      <c r="S105" s="92">
        <v>-1.87458879E-8</v>
      </c>
      <c r="T105" s="92">
        <v>1.6212949400000001E-11</v>
      </c>
      <c r="U105" s="92">
        <v>-5.2582543899999998E-15</v>
      </c>
      <c r="V105" s="92">
        <v>4.8519766199999998E-19</v>
      </c>
      <c r="W105" s="82">
        <v>4</v>
      </c>
      <c r="X105" s="82">
        <v>6000</v>
      </c>
      <c r="Y105" s="82">
        <v>6000</v>
      </c>
      <c r="Z105" s="82">
        <v>0.875</v>
      </c>
      <c r="AA105" s="82">
        <v>400</v>
      </c>
      <c r="AB105" s="82">
        <v>500</v>
      </c>
      <c r="AC105" s="83">
        <v>6</v>
      </c>
      <c r="AD105" s="83">
        <v>96</v>
      </c>
      <c r="AE105" s="83">
        <v>7.5000000000000027</v>
      </c>
      <c r="AF105" s="82">
        <v>11000</v>
      </c>
      <c r="AG105" s="85"/>
      <c r="AH105" s="81"/>
      <c r="AI105" s="86"/>
      <c r="AJ105" s="86"/>
    </row>
    <row r="106" spans="1:36" s="28" customFormat="1" ht="13.2" x14ac:dyDescent="0.25">
      <c r="A106" s="14" t="s">
        <v>523</v>
      </c>
      <c r="B106" s="93" t="s">
        <v>119</v>
      </c>
      <c r="C106" s="96" t="s">
        <v>130</v>
      </c>
      <c r="D106" s="93">
        <v>1200</v>
      </c>
      <c r="E106" s="93">
        <v>4310</v>
      </c>
      <c r="F106" s="93">
        <v>5200</v>
      </c>
      <c r="G106" s="93">
        <v>0.68035999999999996</v>
      </c>
      <c r="H106" s="94">
        <v>27.900120000000001</v>
      </c>
      <c r="I106" s="93">
        <v>7000</v>
      </c>
      <c r="J106" s="72">
        <v>60</v>
      </c>
      <c r="K106" s="92">
        <v>27.900120000000001</v>
      </c>
      <c r="L106" s="92">
        <v>-5.698257E-3</v>
      </c>
      <c r="M106" s="92">
        <v>2.5241679999999999E-6</v>
      </c>
      <c r="N106" s="92">
        <v>-2.4507069999999998E-10</v>
      </c>
      <c r="O106" s="92">
        <v>-4.6915560000000001E-14</v>
      </c>
      <c r="P106" s="92">
        <v>5.0651699999999998E-18</v>
      </c>
      <c r="Q106" s="92">
        <v>0.58453889999999997</v>
      </c>
      <c r="R106" s="92">
        <v>-2.1631279999999999E-5</v>
      </c>
      <c r="S106" s="92">
        <v>6.4847370000000004E-8</v>
      </c>
      <c r="T106" s="92">
        <v>-4.9510280000000002E-12</v>
      </c>
      <c r="U106" s="92">
        <v>-1.4538129999999999E-15</v>
      </c>
      <c r="V106" s="92">
        <v>1.510772E-19</v>
      </c>
      <c r="W106" s="82">
        <v>4</v>
      </c>
      <c r="X106" s="82">
        <v>6000</v>
      </c>
      <c r="Y106" s="82">
        <v>6000</v>
      </c>
      <c r="Z106" s="82">
        <v>0.875</v>
      </c>
      <c r="AA106" s="82">
        <v>400</v>
      </c>
      <c r="AB106" s="82">
        <v>500</v>
      </c>
      <c r="AC106" s="83">
        <v>3</v>
      </c>
      <c r="AD106" s="83">
        <v>67</v>
      </c>
      <c r="AE106" s="83">
        <v>4.5714285714285712</v>
      </c>
      <c r="AF106" s="82">
        <v>11000</v>
      </c>
      <c r="AG106" s="85"/>
      <c r="AH106" s="81"/>
      <c r="AI106" s="86"/>
      <c r="AJ106" s="86"/>
    </row>
    <row r="107" spans="1:36" s="28" customFormat="1" ht="13.2" x14ac:dyDescent="0.25">
      <c r="A107" s="14" t="s">
        <v>523</v>
      </c>
      <c r="B107" s="68" t="s">
        <v>119</v>
      </c>
      <c r="C107" s="68" t="s">
        <v>131</v>
      </c>
      <c r="D107" s="93">
        <v>1500</v>
      </c>
      <c r="E107" s="93">
        <v>5500</v>
      </c>
      <c r="F107" s="93">
        <v>7500</v>
      </c>
      <c r="G107" s="93">
        <v>0.6758904417485786</v>
      </c>
      <c r="H107" s="94">
        <v>29.217338999999999</v>
      </c>
      <c r="I107" s="93">
        <v>8800</v>
      </c>
      <c r="J107" s="72">
        <v>60</v>
      </c>
      <c r="K107" s="92">
        <v>29.217338999999999</v>
      </c>
      <c r="L107" s="92">
        <v>-7.9234171899999995E-4</v>
      </c>
      <c r="M107" s="92">
        <v>-1.2112459E-6</v>
      </c>
      <c r="N107" s="92">
        <v>5.7291403700000001E-10</v>
      </c>
      <c r="O107" s="92">
        <v>-8.84726477E-14</v>
      </c>
      <c r="P107" s="92">
        <v>4.01468885E-18</v>
      </c>
      <c r="Q107" s="92">
        <v>0.79308936299999999</v>
      </c>
      <c r="R107" s="92">
        <v>3.4816585899999998E-5</v>
      </c>
      <c r="S107" s="92">
        <v>-3.4433129100000001E-8</v>
      </c>
      <c r="T107" s="92">
        <v>2.6514944699999999E-11</v>
      </c>
      <c r="U107" s="92">
        <v>-4.5070119500000003E-15</v>
      </c>
      <c r="V107" s="92">
        <v>2.2514503499999999E-19</v>
      </c>
      <c r="W107" s="82">
        <v>4</v>
      </c>
      <c r="X107" s="82">
        <v>6000</v>
      </c>
      <c r="Y107" s="82">
        <v>6000</v>
      </c>
      <c r="Z107" s="82">
        <v>0.875</v>
      </c>
      <c r="AA107" s="82">
        <v>400</v>
      </c>
      <c r="AB107" s="82">
        <v>500</v>
      </c>
      <c r="AC107" s="83">
        <v>3</v>
      </c>
      <c r="AD107" s="83">
        <v>67</v>
      </c>
      <c r="AE107" s="83">
        <v>4.5714285714285712</v>
      </c>
      <c r="AF107" s="82">
        <v>11000</v>
      </c>
      <c r="AG107" s="85"/>
      <c r="AH107" s="81"/>
      <c r="AI107" s="86"/>
      <c r="AJ107" s="86"/>
    </row>
    <row r="108" spans="1:36" s="28" customFormat="1" ht="13.2" x14ac:dyDescent="0.25">
      <c r="A108" s="14" t="s">
        <v>523</v>
      </c>
      <c r="B108" s="88" t="s">
        <v>132</v>
      </c>
      <c r="C108" s="88" t="s">
        <v>133</v>
      </c>
      <c r="D108" s="93">
        <v>120</v>
      </c>
      <c r="E108" s="93">
        <v>1492</v>
      </c>
      <c r="F108" s="93">
        <v>2000</v>
      </c>
      <c r="G108" s="93">
        <v>0.58509937530040623</v>
      </c>
      <c r="H108" s="94">
        <v>59.306820000000002</v>
      </c>
      <c r="I108" s="93">
        <v>2500</v>
      </c>
      <c r="J108" s="72">
        <v>60</v>
      </c>
      <c r="K108" s="92">
        <v>59.306820000000002</v>
      </c>
      <c r="L108" s="92">
        <v>-4.3668409999999998E-3</v>
      </c>
      <c r="M108" s="92">
        <v>-2.171329E-7</v>
      </c>
      <c r="N108" s="92">
        <v>-1.774825E-9</v>
      </c>
      <c r="O108" s="92">
        <v>-1.6596740000000001E-13</v>
      </c>
      <c r="P108" s="92">
        <v>-8.2051280000000001E-17</v>
      </c>
      <c r="Q108" s="92">
        <v>0.39021850000000002</v>
      </c>
      <c r="R108" s="92">
        <v>7.4929489999999994E-5</v>
      </c>
      <c r="S108" s="92">
        <v>5.7952800000000005E-7</v>
      </c>
      <c r="T108" s="92">
        <v>-4.1494169999999999E-10</v>
      </c>
      <c r="U108" s="92">
        <v>9.0349650000000001E-14</v>
      </c>
      <c r="V108" s="92">
        <v>-2.4615379999999999E-18</v>
      </c>
      <c r="W108" s="82">
        <v>5.25</v>
      </c>
      <c r="X108" s="82">
        <v>6000</v>
      </c>
      <c r="Y108" s="82">
        <v>6000</v>
      </c>
      <c r="Z108" s="82">
        <v>0.875</v>
      </c>
      <c r="AA108" s="82">
        <v>400</v>
      </c>
      <c r="AB108" s="82">
        <v>500</v>
      </c>
      <c r="AC108" s="83">
        <v>11</v>
      </c>
      <c r="AD108" s="83">
        <v>82</v>
      </c>
      <c r="AE108" s="83">
        <v>14.2</v>
      </c>
      <c r="AF108" s="82">
        <v>18000</v>
      </c>
      <c r="AG108" s="85"/>
      <c r="AH108" s="81"/>
      <c r="AI108" s="86"/>
      <c r="AJ108" s="86"/>
    </row>
    <row r="109" spans="1:36" s="28" customFormat="1" ht="13.2" x14ac:dyDescent="0.25">
      <c r="A109" s="14" t="s">
        <v>523</v>
      </c>
      <c r="B109" s="88" t="s">
        <v>132</v>
      </c>
      <c r="C109" s="88" t="s">
        <v>134</v>
      </c>
      <c r="D109" s="93">
        <v>240</v>
      </c>
      <c r="E109" s="93">
        <v>2182</v>
      </c>
      <c r="F109" s="93">
        <v>2700</v>
      </c>
      <c r="G109" s="93">
        <v>0.57829857567680998</v>
      </c>
      <c r="H109" s="94">
        <v>50.872845099999999</v>
      </c>
      <c r="I109" s="93">
        <v>3100</v>
      </c>
      <c r="J109" s="72">
        <v>60</v>
      </c>
      <c r="K109" s="92">
        <v>50.872845099999999</v>
      </c>
      <c r="L109" s="92">
        <v>-3.62080499E-3</v>
      </c>
      <c r="M109" s="92">
        <v>1.4315342599999999E-5</v>
      </c>
      <c r="N109" s="92">
        <v>-1.8613630599999998E-8</v>
      </c>
      <c r="O109" s="92">
        <v>7.6648677300000004E-12</v>
      </c>
      <c r="P109" s="92">
        <v>-1.14298837E-15</v>
      </c>
      <c r="Q109" s="92">
        <v>0.58305870999999998</v>
      </c>
      <c r="R109" s="92">
        <v>1.9707485000000001E-4</v>
      </c>
      <c r="S109" s="92">
        <v>1.0183001100000001E-7</v>
      </c>
      <c r="T109" s="92">
        <v>-2.0007937999999999E-11</v>
      </c>
      <c r="U109" s="92">
        <v>-3.1344225199999999E-14</v>
      </c>
      <c r="V109" s="92">
        <v>7.8991713200000001E-18</v>
      </c>
      <c r="W109" s="82">
        <v>5.25</v>
      </c>
      <c r="X109" s="82">
        <v>6000</v>
      </c>
      <c r="Y109" s="82">
        <v>6000</v>
      </c>
      <c r="Z109" s="82">
        <v>0.875</v>
      </c>
      <c r="AA109" s="82">
        <v>400</v>
      </c>
      <c r="AB109" s="82">
        <v>500</v>
      </c>
      <c r="AC109" s="83">
        <v>8</v>
      </c>
      <c r="AD109" s="83">
        <v>86</v>
      </c>
      <c r="AE109" s="83">
        <v>11.142857142857137</v>
      </c>
      <c r="AF109" s="82">
        <v>18000</v>
      </c>
      <c r="AG109" s="85"/>
      <c r="AH109" s="81"/>
      <c r="AI109" s="86"/>
      <c r="AJ109" s="86"/>
    </row>
    <row r="110" spans="1:36" s="28" customFormat="1" ht="13.2" x14ac:dyDescent="0.25">
      <c r="A110" s="14" t="s">
        <v>523</v>
      </c>
      <c r="B110" s="93" t="s">
        <v>132</v>
      </c>
      <c r="C110" s="93" t="s">
        <v>135</v>
      </c>
      <c r="D110" s="93">
        <v>270</v>
      </c>
      <c r="E110" s="93">
        <v>2565</v>
      </c>
      <c r="F110" s="93">
        <v>3100</v>
      </c>
      <c r="G110" s="93">
        <v>0.63830583351497661</v>
      </c>
      <c r="H110" s="94">
        <v>53.951410000000003</v>
      </c>
      <c r="I110" s="93">
        <v>3800</v>
      </c>
      <c r="J110" s="72">
        <v>60</v>
      </c>
      <c r="K110" s="92">
        <v>53.951410000000003</v>
      </c>
      <c r="L110" s="92">
        <v>1.662429E-3</v>
      </c>
      <c r="M110" s="92">
        <v>-6.7223220000000002E-6</v>
      </c>
      <c r="N110" s="92">
        <v>4.3852260000000001E-9</v>
      </c>
      <c r="O110" s="92">
        <v>-1.381696E-12</v>
      </c>
      <c r="P110" s="92">
        <v>1.1925920000000001E-16</v>
      </c>
      <c r="Q110" s="92">
        <v>0.71346010000000004</v>
      </c>
      <c r="R110" s="92">
        <v>-3.19294E-5</v>
      </c>
      <c r="S110" s="92">
        <v>1.829531E-7</v>
      </c>
      <c r="T110" s="92">
        <v>4.1044100000000003E-12</v>
      </c>
      <c r="U110" s="92">
        <v>-2.4460820000000001E-14</v>
      </c>
      <c r="V110" s="92">
        <v>3.4071179999999998E-18</v>
      </c>
      <c r="W110" s="82">
        <v>5.25</v>
      </c>
      <c r="X110" s="82">
        <v>6000</v>
      </c>
      <c r="Y110" s="82">
        <v>6000</v>
      </c>
      <c r="Z110" s="82">
        <v>0.875</v>
      </c>
      <c r="AA110" s="82">
        <v>400</v>
      </c>
      <c r="AB110" s="82">
        <v>500</v>
      </c>
      <c r="AC110" s="83">
        <v>8</v>
      </c>
      <c r="AD110" s="83">
        <v>86</v>
      </c>
      <c r="AE110" s="83">
        <v>11.142857142857137</v>
      </c>
      <c r="AF110" s="82">
        <v>18000</v>
      </c>
      <c r="AG110" s="85"/>
      <c r="AH110" s="81"/>
      <c r="AI110" s="86"/>
      <c r="AJ110" s="86"/>
    </row>
    <row r="111" spans="1:36" s="28" customFormat="1" ht="13.2" x14ac:dyDescent="0.25">
      <c r="A111" s="14" t="s">
        <v>523</v>
      </c>
      <c r="B111" s="93">
        <v>513</v>
      </c>
      <c r="C111" s="96" t="s">
        <v>136</v>
      </c>
      <c r="D111" s="93">
        <v>330</v>
      </c>
      <c r="E111" s="93">
        <v>3434</v>
      </c>
      <c r="F111" s="93">
        <v>4100</v>
      </c>
      <c r="G111" s="93">
        <v>0.62819999999999998</v>
      </c>
      <c r="H111" s="93">
        <v>52.51</v>
      </c>
      <c r="I111" s="93">
        <v>5000</v>
      </c>
      <c r="J111" s="72">
        <v>60</v>
      </c>
      <c r="K111" s="92">
        <v>52.5</v>
      </c>
      <c r="L111" s="92">
        <v>1.64E-6</v>
      </c>
      <c r="M111" s="92">
        <v>-9.0999999999999993E-6</v>
      </c>
      <c r="N111" s="92">
        <v>5.8299999999999999E-9</v>
      </c>
      <c r="O111" s="92">
        <v>-1.4500000000000001E-12</v>
      </c>
      <c r="P111" s="92">
        <v>1.12E-16</v>
      </c>
      <c r="Q111" s="92">
        <v>1.0019499999999999</v>
      </c>
      <c r="R111" s="92">
        <v>5.5727499999999998E-5</v>
      </c>
      <c r="S111" s="92">
        <v>-2.5723399999999998E-9</v>
      </c>
      <c r="T111" s="92">
        <v>6.2062899999999997E-11</v>
      </c>
      <c r="U111" s="92">
        <v>-2.55929E-14</v>
      </c>
      <c r="V111" s="92">
        <v>2.6082600000000001E-18</v>
      </c>
      <c r="W111" s="82">
        <v>5.13</v>
      </c>
      <c r="X111" s="82">
        <v>6000</v>
      </c>
      <c r="Y111" s="82">
        <v>6000</v>
      </c>
      <c r="Z111" s="82">
        <v>0.875</v>
      </c>
      <c r="AA111" s="82">
        <v>400</v>
      </c>
      <c r="AB111" s="82">
        <v>500</v>
      </c>
      <c r="AC111" s="83">
        <v>7</v>
      </c>
      <c r="AD111" s="83">
        <v>80</v>
      </c>
      <c r="AE111" s="83">
        <v>10.42857142857145</v>
      </c>
      <c r="AF111" s="82">
        <v>18000</v>
      </c>
      <c r="AG111" s="85"/>
      <c r="AH111" s="81"/>
      <c r="AI111" s="86"/>
      <c r="AJ111" s="86"/>
    </row>
    <row r="112" spans="1:36" s="28" customFormat="1" ht="13.2" x14ac:dyDescent="0.25">
      <c r="A112" s="14" t="s">
        <v>523</v>
      </c>
      <c r="B112" s="93" t="s">
        <v>132</v>
      </c>
      <c r="C112" s="90" t="s">
        <v>137</v>
      </c>
      <c r="D112" s="93">
        <v>1200</v>
      </c>
      <c r="E112" s="93">
        <v>4432</v>
      </c>
      <c r="F112" s="93">
        <v>5200</v>
      </c>
      <c r="G112" s="93">
        <v>0.64822000000000002</v>
      </c>
      <c r="H112" s="93">
        <v>57.425269999999998</v>
      </c>
      <c r="I112" s="93">
        <v>7000</v>
      </c>
      <c r="J112" s="72">
        <v>60</v>
      </c>
      <c r="K112" s="92">
        <v>57.425269999999998</v>
      </c>
      <c r="L112" s="92">
        <v>-4.5700000000000003E-3</v>
      </c>
      <c r="M112" s="92">
        <v>1.67E-7</v>
      </c>
      <c r="N112" s="92">
        <v>5.05E-11</v>
      </c>
      <c r="O112" s="92">
        <v>-3.24E-14</v>
      </c>
      <c r="P112" s="92">
        <v>1.8999999999999999E-18</v>
      </c>
      <c r="Q112" s="97">
        <v>1.3523449999999999</v>
      </c>
      <c r="R112" s="92">
        <v>-2.26E-5</v>
      </c>
      <c r="S112" s="92">
        <v>6.13E-8</v>
      </c>
      <c r="T112" s="92">
        <v>2.0000000000000001E-13</v>
      </c>
      <c r="U112" s="92">
        <v>-2.9299999999999999E-15</v>
      </c>
      <c r="V112" s="92">
        <v>2.61E-19</v>
      </c>
      <c r="W112" s="82">
        <v>5.25</v>
      </c>
      <c r="X112" s="82">
        <v>6000</v>
      </c>
      <c r="Y112" s="82">
        <v>6000</v>
      </c>
      <c r="Z112" s="82">
        <v>1</v>
      </c>
      <c r="AA112" s="82">
        <v>600</v>
      </c>
      <c r="AB112" s="82">
        <v>750</v>
      </c>
      <c r="AC112" s="83">
        <v>5</v>
      </c>
      <c r="AD112" s="83">
        <v>99</v>
      </c>
      <c r="AE112" s="83">
        <v>6.7142857142857135</v>
      </c>
      <c r="AF112" s="82">
        <v>18000</v>
      </c>
      <c r="AG112" s="85"/>
      <c r="AH112" s="81"/>
      <c r="AI112" s="86"/>
      <c r="AJ112" s="86"/>
    </row>
    <row r="113" spans="1:36" s="28" customFormat="1" ht="13.2" x14ac:dyDescent="0.25">
      <c r="A113" s="14" t="s">
        <v>523</v>
      </c>
      <c r="B113" s="93" t="s">
        <v>132</v>
      </c>
      <c r="C113" s="93" t="s">
        <v>138</v>
      </c>
      <c r="D113" s="93">
        <v>600</v>
      </c>
      <c r="E113" s="93">
        <v>6100</v>
      </c>
      <c r="F113" s="93">
        <v>7200</v>
      </c>
      <c r="G113" s="93">
        <v>0.65725999999999996</v>
      </c>
      <c r="H113" s="93">
        <v>44.592500000000001</v>
      </c>
      <c r="I113" s="93">
        <v>9000</v>
      </c>
      <c r="J113" s="72">
        <v>60</v>
      </c>
      <c r="K113" s="92">
        <v>44.592500000000001</v>
      </c>
      <c r="L113" s="92">
        <v>-1.6307450000000001E-3</v>
      </c>
      <c r="M113" s="92">
        <v>-6.3535889999999997E-7</v>
      </c>
      <c r="N113" s="92">
        <v>1.633632E-10</v>
      </c>
      <c r="O113" s="92">
        <v>-1.9053429999999999E-14</v>
      </c>
      <c r="P113" s="92">
        <v>5.4115539999999999E-19</v>
      </c>
      <c r="Q113" s="92">
        <v>1.4057390000000001</v>
      </c>
      <c r="R113" s="92">
        <v>3.9060570000000001E-5</v>
      </c>
      <c r="S113" s="92">
        <v>-3.8059920000000002E-9</v>
      </c>
      <c r="T113" s="92">
        <v>8.9490249999999998E-12</v>
      </c>
      <c r="U113" s="92">
        <v>-1.8003130000000001E-15</v>
      </c>
      <c r="V113" s="92">
        <v>8.9032109999999995E-20</v>
      </c>
      <c r="W113" s="82">
        <v>5.25</v>
      </c>
      <c r="X113" s="82">
        <v>6000</v>
      </c>
      <c r="Y113" s="82">
        <v>6000</v>
      </c>
      <c r="Z113" s="82">
        <v>1</v>
      </c>
      <c r="AA113" s="82">
        <v>600</v>
      </c>
      <c r="AB113" s="82">
        <v>750</v>
      </c>
      <c r="AC113" s="83">
        <v>3</v>
      </c>
      <c r="AD113" s="83">
        <v>68</v>
      </c>
      <c r="AE113" s="83">
        <v>4.7142857142857162</v>
      </c>
      <c r="AF113" s="82">
        <v>18000</v>
      </c>
      <c r="AG113" s="85"/>
      <c r="AH113" s="81"/>
      <c r="AI113" s="86"/>
      <c r="AJ113" s="86"/>
    </row>
    <row r="114" spans="1:36" s="27" customFormat="1" ht="13.2" x14ac:dyDescent="0.25">
      <c r="A114" s="14" t="s">
        <v>523</v>
      </c>
      <c r="B114" s="93" t="s">
        <v>132</v>
      </c>
      <c r="C114" s="96" t="s">
        <v>139</v>
      </c>
      <c r="D114" s="93">
        <v>1050</v>
      </c>
      <c r="E114" s="93">
        <v>9700</v>
      </c>
      <c r="F114" s="93">
        <v>12000</v>
      </c>
      <c r="G114" s="93">
        <v>0.66077578880697085</v>
      </c>
      <c r="H114" s="93">
        <v>43.392829999999996</v>
      </c>
      <c r="I114" s="93">
        <v>14300</v>
      </c>
      <c r="J114" s="72">
        <v>60</v>
      </c>
      <c r="K114" s="92">
        <v>43.392829999999996</v>
      </c>
      <c r="L114" s="92">
        <v>-2.8717349999999998E-3</v>
      </c>
      <c r="M114" s="92">
        <v>4.5831570000000001E-7</v>
      </c>
      <c r="N114" s="92">
        <v>-1.234753E-11</v>
      </c>
      <c r="O114" s="92">
        <v>-3.357867E-15</v>
      </c>
      <c r="P114" s="92">
        <v>1.5130409999999999E-19</v>
      </c>
      <c r="Q114" s="92">
        <v>2.3910490000000002</v>
      </c>
      <c r="R114" s="92">
        <v>-1.1206289999999999E-4</v>
      </c>
      <c r="S114" s="92">
        <v>5.8967069999999997E-8</v>
      </c>
      <c r="T114" s="92">
        <v>-4.1814060000000002E-12</v>
      </c>
      <c r="U114" s="92">
        <v>-2.8454619999999999E-17</v>
      </c>
      <c r="V114" s="92">
        <v>6.1132970000000001E-21</v>
      </c>
      <c r="W114" s="82">
        <v>5.25</v>
      </c>
      <c r="X114" s="82">
        <v>6000</v>
      </c>
      <c r="Y114" s="82">
        <v>6000</v>
      </c>
      <c r="Z114" s="82">
        <v>1.1879999999999999</v>
      </c>
      <c r="AA114" s="82">
        <v>1000</v>
      </c>
      <c r="AB114" s="82">
        <v>1250</v>
      </c>
      <c r="AC114" s="83">
        <v>2</v>
      </c>
      <c r="AD114" s="83">
        <v>58</v>
      </c>
      <c r="AE114" s="83">
        <v>4.0000000000000009</v>
      </c>
      <c r="AF114" s="82">
        <v>18000</v>
      </c>
      <c r="AG114" s="80"/>
      <c r="AH114" s="81"/>
      <c r="AI114" s="79"/>
      <c r="AJ114" s="79"/>
    </row>
    <row r="115" spans="1:36" s="27" customFormat="1" ht="13.2" x14ac:dyDescent="0.25">
      <c r="A115" s="14" t="s">
        <v>523</v>
      </c>
      <c r="B115" s="93" t="s">
        <v>140</v>
      </c>
      <c r="C115" s="96" t="s">
        <v>141</v>
      </c>
      <c r="D115" s="93">
        <v>250</v>
      </c>
      <c r="E115" s="93">
        <v>1635</v>
      </c>
      <c r="F115" s="93">
        <v>2300</v>
      </c>
      <c r="G115" s="93">
        <v>0.55350999999999995</v>
      </c>
      <c r="H115" s="93">
        <v>65.7</v>
      </c>
      <c r="I115" s="93">
        <v>2600</v>
      </c>
      <c r="J115" s="72">
        <v>60</v>
      </c>
      <c r="K115" s="92">
        <v>65.7</v>
      </c>
      <c r="L115" s="92">
        <v>5.6499999999999996E-3</v>
      </c>
      <c r="M115" s="92">
        <v>-2.9499999999999999E-5</v>
      </c>
      <c r="N115" s="92">
        <v>2.6799999999999998E-8</v>
      </c>
      <c r="O115" s="92">
        <v>-1.1200000000000001E-11</v>
      </c>
      <c r="P115" s="92">
        <v>1.49E-15</v>
      </c>
      <c r="Q115" s="92">
        <v>0.67900000000000005</v>
      </c>
      <c r="R115" s="92">
        <v>1.18E-4</v>
      </c>
      <c r="S115" s="92">
        <v>2.4900000000000002E-7</v>
      </c>
      <c r="T115" s="92">
        <v>-1.2899999999999999E-10</v>
      </c>
      <c r="U115" s="92">
        <v>2.8900000000000002E-14</v>
      </c>
      <c r="V115" s="92">
        <v>-3.5399999999999997E-18</v>
      </c>
      <c r="W115" s="82">
        <v>5.38</v>
      </c>
      <c r="X115" s="82">
        <v>6000</v>
      </c>
      <c r="Y115" s="82">
        <v>6000</v>
      </c>
      <c r="Z115" s="82">
        <v>0.875</v>
      </c>
      <c r="AA115" s="82">
        <v>400</v>
      </c>
      <c r="AB115" s="82">
        <v>500</v>
      </c>
      <c r="AC115" s="83">
        <v>6</v>
      </c>
      <c r="AD115" s="83">
        <v>148</v>
      </c>
      <c r="AE115" s="83">
        <v>10.142857142857142</v>
      </c>
      <c r="AF115" s="82">
        <v>18000</v>
      </c>
      <c r="AG115" s="80"/>
      <c r="AH115" s="81"/>
      <c r="AI115" s="79"/>
      <c r="AJ115" s="79"/>
    </row>
    <row r="116" spans="1:36" s="27" customFormat="1" ht="13.2" x14ac:dyDescent="0.25">
      <c r="A116" s="14" t="s">
        <v>523</v>
      </c>
      <c r="B116" s="93" t="s">
        <v>140</v>
      </c>
      <c r="C116" s="96" t="s">
        <v>142</v>
      </c>
      <c r="D116" s="93">
        <v>200</v>
      </c>
      <c r="E116" s="93">
        <v>1720</v>
      </c>
      <c r="F116" s="93">
        <v>2300</v>
      </c>
      <c r="G116" s="93">
        <v>0.5625</v>
      </c>
      <c r="H116" s="93">
        <v>73.5</v>
      </c>
      <c r="I116" s="93">
        <v>3383.3</v>
      </c>
      <c r="J116" s="72">
        <v>60</v>
      </c>
      <c r="K116" s="92">
        <v>73.445141985393178</v>
      </c>
      <c r="L116" s="92">
        <v>2.0303500800368671E-3</v>
      </c>
      <c r="M116" s="92">
        <v>-1.3853546428147672E-5</v>
      </c>
      <c r="N116" s="92">
        <v>5.2941988134853012E-9</v>
      </c>
      <c r="O116" s="92">
        <v>-1.0790112674423383E-12</v>
      </c>
      <c r="P116" s="92">
        <v>4.5743411158773352E-17</v>
      </c>
      <c r="Q116" s="92">
        <v>0.68470266489384746</v>
      </c>
      <c r="R116" s="92">
        <v>2.817265887128687E-4</v>
      </c>
      <c r="S116" s="92">
        <v>2.2266708990013738E-7</v>
      </c>
      <c r="T116" s="92">
        <v>-2.8600523215398765E-10</v>
      </c>
      <c r="U116" s="92">
        <v>1.3651445328608066E-13</v>
      </c>
      <c r="V116" s="92">
        <v>-2.3065365961180761E-17</v>
      </c>
      <c r="W116" s="82">
        <v>5.38</v>
      </c>
      <c r="X116" s="82">
        <v>6000</v>
      </c>
      <c r="Y116" s="82">
        <v>6000</v>
      </c>
      <c r="Z116" s="82">
        <v>0.875</v>
      </c>
      <c r="AA116" s="82">
        <v>400</v>
      </c>
      <c r="AB116" s="82">
        <v>500</v>
      </c>
      <c r="AC116" s="83">
        <v>4</v>
      </c>
      <c r="AD116" s="83">
        <v>104</v>
      </c>
      <c r="AE116" s="83">
        <v>7.1428571428571432</v>
      </c>
      <c r="AF116" s="82">
        <v>18000</v>
      </c>
      <c r="AG116" s="80"/>
      <c r="AH116" s="81"/>
      <c r="AI116" s="79"/>
      <c r="AJ116" s="79"/>
    </row>
    <row r="117" spans="1:36" s="28" customFormat="1" ht="13.2" x14ac:dyDescent="0.25">
      <c r="A117" s="14" t="s">
        <v>523</v>
      </c>
      <c r="B117" s="93" t="s">
        <v>140</v>
      </c>
      <c r="C117" s="93" t="s">
        <v>143</v>
      </c>
      <c r="D117" s="93">
        <v>600</v>
      </c>
      <c r="E117" s="93">
        <v>2544</v>
      </c>
      <c r="F117" s="93">
        <v>3200</v>
      </c>
      <c r="G117" s="93">
        <v>0.6747534242983757</v>
      </c>
      <c r="H117" s="93">
        <v>63.199599999999997</v>
      </c>
      <c r="I117" s="93">
        <v>3750</v>
      </c>
      <c r="J117" s="72">
        <v>60</v>
      </c>
      <c r="K117" s="92">
        <v>63.199599999999997</v>
      </c>
      <c r="L117" s="92">
        <v>3.8093699999999997E-4</v>
      </c>
      <c r="M117" s="92">
        <v>-9.9635700000000002E-6</v>
      </c>
      <c r="N117" s="92">
        <v>6.3421100000000001E-9</v>
      </c>
      <c r="O117" s="92">
        <v>-1.5432300000000001E-12</v>
      </c>
      <c r="P117" s="92">
        <v>7.3669799999999996E-17</v>
      </c>
      <c r="Q117" s="92">
        <v>0.80906599999999995</v>
      </c>
      <c r="R117" s="92">
        <v>-1.3881399999999999E-4</v>
      </c>
      <c r="S117" s="92">
        <v>4.7887500000000003E-7</v>
      </c>
      <c r="T117" s="92">
        <v>-2.4130699999999999E-10</v>
      </c>
      <c r="U117" s="92">
        <v>5.2239899999999999E-14</v>
      </c>
      <c r="V117" s="92">
        <v>-4.3032799999999998E-18</v>
      </c>
      <c r="W117" s="82">
        <v>5.38</v>
      </c>
      <c r="X117" s="82">
        <v>6000</v>
      </c>
      <c r="Y117" s="82">
        <v>6000</v>
      </c>
      <c r="Z117" s="82">
        <v>0.875</v>
      </c>
      <c r="AA117" s="82">
        <v>400</v>
      </c>
      <c r="AB117" s="82">
        <v>500</v>
      </c>
      <c r="AC117" s="83">
        <v>7</v>
      </c>
      <c r="AD117" s="83">
        <v>88</v>
      </c>
      <c r="AE117" s="83">
        <v>11.571428571428566</v>
      </c>
      <c r="AF117" s="82">
        <v>18000</v>
      </c>
      <c r="AG117" s="85"/>
      <c r="AH117" s="81"/>
      <c r="AI117" s="86"/>
      <c r="AJ117" s="86"/>
    </row>
    <row r="118" spans="1:36" s="44" customFormat="1" x14ac:dyDescent="0.3">
      <c r="A118" s="14" t="s">
        <v>523</v>
      </c>
      <c r="B118" s="93" t="s">
        <v>140</v>
      </c>
      <c r="C118" s="93" t="s">
        <v>144</v>
      </c>
      <c r="D118" s="93">
        <v>750</v>
      </c>
      <c r="E118" s="93">
        <v>3489</v>
      </c>
      <c r="F118" s="93">
        <v>4600</v>
      </c>
      <c r="G118" s="93">
        <v>0.70009055265351261</v>
      </c>
      <c r="H118" s="93">
        <v>64.287099999999995</v>
      </c>
      <c r="I118" s="93">
        <v>5800</v>
      </c>
      <c r="J118" s="72">
        <v>60</v>
      </c>
      <c r="K118" s="92">
        <v>64.287099999999995</v>
      </c>
      <c r="L118" s="92">
        <v>5.0566100000000002E-4</v>
      </c>
      <c r="M118" s="92">
        <v>-1.0988299999999999E-6</v>
      </c>
      <c r="N118" s="92">
        <v>1.86455E-10</v>
      </c>
      <c r="O118" s="92">
        <v>-8.2556099999999999E-14</v>
      </c>
      <c r="P118" s="92">
        <v>4.2475899999999999E-18</v>
      </c>
      <c r="Q118" s="92">
        <v>1.1871100000000001</v>
      </c>
      <c r="R118" s="92">
        <v>1.0009E-4</v>
      </c>
      <c r="S118" s="92">
        <v>6.4938699999999994E-8</v>
      </c>
      <c r="T118" s="92">
        <v>-6.81374E-12</v>
      </c>
      <c r="U118" s="92">
        <v>-1.9602400000000001E-15</v>
      </c>
      <c r="V118" s="92">
        <v>2.04374E-19</v>
      </c>
      <c r="W118" s="82">
        <v>5.38</v>
      </c>
      <c r="X118" s="82">
        <v>6000</v>
      </c>
      <c r="Y118" s="82">
        <v>6000</v>
      </c>
      <c r="Z118" s="82">
        <v>0.875</v>
      </c>
      <c r="AA118" s="82">
        <v>400</v>
      </c>
      <c r="AB118" s="82">
        <v>500</v>
      </c>
      <c r="AC118" s="83">
        <v>4</v>
      </c>
      <c r="AD118" s="83">
        <v>114</v>
      </c>
      <c r="AE118" s="83">
        <v>7.8571428571428594</v>
      </c>
      <c r="AF118" s="98">
        <v>18000</v>
      </c>
      <c r="AG118" s="99"/>
      <c r="AH118" s="99"/>
      <c r="AI118" s="99"/>
      <c r="AJ118" s="99"/>
    </row>
    <row r="119" spans="1:36" s="44" customFormat="1" x14ac:dyDescent="0.3">
      <c r="A119" s="14" t="s">
        <v>523</v>
      </c>
      <c r="B119" s="93" t="s">
        <v>140</v>
      </c>
      <c r="C119" s="93" t="s">
        <v>145</v>
      </c>
      <c r="D119" s="93">
        <v>1500</v>
      </c>
      <c r="E119" s="93">
        <v>5799</v>
      </c>
      <c r="F119" s="93">
        <v>7300</v>
      </c>
      <c r="G119" s="93">
        <v>0.71664108010692162</v>
      </c>
      <c r="H119" s="93">
        <v>61.933610000000002</v>
      </c>
      <c r="I119" s="93">
        <v>9600</v>
      </c>
      <c r="J119" s="72">
        <v>60</v>
      </c>
      <c r="K119" s="92">
        <v>61.933610000000002</v>
      </c>
      <c r="L119" s="92">
        <v>2.9199999999999999E-3</v>
      </c>
      <c r="M119" s="92">
        <v>-4.5899199999999996E-6</v>
      </c>
      <c r="N119" s="92">
        <v>1.45977E-9</v>
      </c>
      <c r="O119" s="92">
        <v>-1.92291E-13</v>
      </c>
      <c r="P119" s="92">
        <v>8.2753999999999999E-18</v>
      </c>
      <c r="Q119" s="92">
        <v>1.6020000000000001</v>
      </c>
      <c r="R119" s="92">
        <v>4.5583400000000001E-5</v>
      </c>
      <c r="S119" s="92">
        <v>1.06038E-7</v>
      </c>
      <c r="T119" s="92">
        <v>-2.2699600000000002E-11</v>
      </c>
      <c r="U119" s="92">
        <v>1.91469E-15</v>
      </c>
      <c r="V119" s="92">
        <v>-6.6158600000000001E-20</v>
      </c>
      <c r="W119" s="82">
        <v>5.38</v>
      </c>
      <c r="X119" s="82">
        <v>6000</v>
      </c>
      <c r="Y119" s="82">
        <v>6000</v>
      </c>
      <c r="Z119" s="82">
        <v>1</v>
      </c>
      <c r="AA119" s="82">
        <v>600</v>
      </c>
      <c r="AB119" s="82">
        <v>750</v>
      </c>
      <c r="AC119" s="83">
        <v>3</v>
      </c>
      <c r="AD119" s="83">
        <v>82</v>
      </c>
      <c r="AE119" s="83">
        <v>5.6428571428571459</v>
      </c>
      <c r="AF119" s="98">
        <v>18000</v>
      </c>
      <c r="AG119" s="99"/>
      <c r="AH119" s="99"/>
      <c r="AI119" s="99"/>
      <c r="AJ119" s="99"/>
    </row>
    <row r="120" spans="1:36" s="44" customFormat="1" x14ac:dyDescent="0.3">
      <c r="A120" s="14" t="s">
        <v>523</v>
      </c>
      <c r="B120" s="93" t="s">
        <v>140</v>
      </c>
      <c r="C120" s="93" t="s">
        <v>146</v>
      </c>
      <c r="D120" s="93">
        <v>2000</v>
      </c>
      <c r="E120" s="93">
        <v>7360</v>
      </c>
      <c r="F120" s="93">
        <v>10000</v>
      </c>
      <c r="G120" s="93">
        <v>0.73113499999999998</v>
      </c>
      <c r="H120" s="93">
        <v>63.511560000000003</v>
      </c>
      <c r="I120" s="93">
        <v>12000</v>
      </c>
      <c r="J120" s="72">
        <v>60</v>
      </c>
      <c r="K120" s="92">
        <v>63.510820000000002</v>
      </c>
      <c r="L120" s="92">
        <v>-4.2013099999999998E-3</v>
      </c>
      <c r="M120" s="92">
        <v>6.9897009999999996E-7</v>
      </c>
      <c r="N120" s="92">
        <v>-2.5980030000000002E-11</v>
      </c>
      <c r="O120" s="92">
        <v>-8.5746719999999998E-15</v>
      </c>
      <c r="P120" s="92">
        <v>4.8231649999999996E-19</v>
      </c>
      <c r="Q120" s="92">
        <v>2.2991470000000001</v>
      </c>
      <c r="R120" s="92">
        <v>-1.2255750000000001E-4</v>
      </c>
      <c r="S120" s="92">
        <v>8.1237789999999995E-8</v>
      </c>
      <c r="T120" s="92">
        <v>-5.4051009999999998E-12</v>
      </c>
      <c r="U120" s="92">
        <v>-2.6176169999999998E-16</v>
      </c>
      <c r="V120" s="92">
        <v>2.2319420000000001E-20</v>
      </c>
      <c r="W120" s="82">
        <v>5.38</v>
      </c>
      <c r="X120" s="82">
        <v>6000</v>
      </c>
      <c r="Y120" s="82">
        <v>6000</v>
      </c>
      <c r="Z120" s="82">
        <v>1</v>
      </c>
      <c r="AA120" s="82">
        <v>600</v>
      </c>
      <c r="AB120" s="82">
        <v>750</v>
      </c>
      <c r="AC120" s="83">
        <v>3</v>
      </c>
      <c r="AD120" s="83">
        <v>82</v>
      </c>
      <c r="AE120" s="83">
        <v>5.6428571428571459</v>
      </c>
      <c r="AF120" s="98">
        <v>18000</v>
      </c>
      <c r="AG120" s="99"/>
      <c r="AH120" s="99"/>
      <c r="AI120" s="99"/>
      <c r="AJ120" s="99"/>
    </row>
    <row r="121" spans="1:36" s="44" customFormat="1" x14ac:dyDescent="0.3">
      <c r="A121" s="14" t="s">
        <v>523</v>
      </c>
      <c r="B121" s="93" t="s">
        <v>140</v>
      </c>
      <c r="C121" s="93" t="s">
        <v>147</v>
      </c>
      <c r="D121" s="93">
        <v>2500</v>
      </c>
      <c r="E121" s="93">
        <v>8850</v>
      </c>
      <c r="F121" s="93">
        <v>10565</v>
      </c>
      <c r="G121" s="93">
        <v>0.72219999999999995</v>
      </c>
      <c r="H121" s="93">
        <v>62.574809999999999</v>
      </c>
      <c r="I121" s="93">
        <v>13600</v>
      </c>
      <c r="J121" s="72">
        <v>60</v>
      </c>
      <c r="K121" s="92">
        <v>62.574809999999999</v>
      </c>
      <c r="L121" s="92">
        <v>-1.5007569999999999E-3</v>
      </c>
      <c r="M121" s="92">
        <v>-1.9673429999999999E-6</v>
      </c>
      <c r="N121" s="92">
        <v>4.9719170000000004E-10</v>
      </c>
      <c r="O121" s="92">
        <v>-4.4293770000000003E-14</v>
      </c>
      <c r="P121" s="92">
        <v>1.2622729999999999E-18</v>
      </c>
      <c r="Q121" s="92">
        <v>2.496747</v>
      </c>
      <c r="R121" s="92">
        <v>4.1136219999999998E-4</v>
      </c>
      <c r="S121" s="92">
        <v>-1.958165E-7</v>
      </c>
      <c r="T121" s="92">
        <v>4.0433709999999999E-11</v>
      </c>
      <c r="U121" s="92">
        <v>-3.4256259999999999E-15</v>
      </c>
      <c r="V121" s="92">
        <v>1.011116E-19</v>
      </c>
      <c r="W121" s="82">
        <v>5.38</v>
      </c>
      <c r="X121" s="82">
        <v>6000</v>
      </c>
      <c r="Y121" s="82">
        <v>6000</v>
      </c>
      <c r="Z121" s="82">
        <v>1</v>
      </c>
      <c r="AA121" s="82">
        <v>600</v>
      </c>
      <c r="AB121" s="82">
        <v>750</v>
      </c>
      <c r="AC121" s="83">
        <v>3</v>
      </c>
      <c r="AD121" s="83">
        <v>72</v>
      </c>
      <c r="AE121" s="83">
        <v>4.9285714285714288</v>
      </c>
      <c r="AF121" s="98">
        <v>18000</v>
      </c>
      <c r="AG121" s="99"/>
      <c r="AH121" s="99"/>
      <c r="AI121" s="99"/>
      <c r="AJ121" s="99"/>
    </row>
    <row r="122" spans="1:36" s="44" customFormat="1" x14ac:dyDescent="0.25">
      <c r="A122" s="14" t="s">
        <v>523</v>
      </c>
      <c r="B122" s="93" t="s">
        <v>140</v>
      </c>
      <c r="C122" s="93" t="s">
        <v>148</v>
      </c>
      <c r="D122" s="93">
        <v>3000</v>
      </c>
      <c r="E122" s="93">
        <v>11340</v>
      </c>
      <c r="F122" s="93">
        <v>14000</v>
      </c>
      <c r="G122" s="93">
        <v>0.72727699999999995</v>
      </c>
      <c r="H122" s="93">
        <v>50.052500000000002</v>
      </c>
      <c r="I122" s="93">
        <v>16000</v>
      </c>
      <c r="J122" s="72">
        <v>60</v>
      </c>
      <c r="K122" s="78">
        <v>50.052500000000002</v>
      </c>
      <c r="L122" s="78">
        <v>-2.6332090000000001E-3</v>
      </c>
      <c r="M122" s="78">
        <v>-7.0564050000000005E-8</v>
      </c>
      <c r="N122" s="78">
        <v>1.007973E-10</v>
      </c>
      <c r="O122" s="78">
        <v>-1.067702E-14</v>
      </c>
      <c r="P122" s="78">
        <v>3.0141109999999999E-19</v>
      </c>
      <c r="Q122" s="78">
        <v>2.952483</v>
      </c>
      <c r="R122" s="78">
        <v>-2.0018999999999999E-4</v>
      </c>
      <c r="S122" s="78">
        <v>1.1722919999999999E-7</v>
      </c>
      <c r="T122" s="78">
        <v>-1.56608E-11</v>
      </c>
      <c r="U122" s="78">
        <v>9.522853E-16</v>
      </c>
      <c r="V122" s="78">
        <v>-2.294693E-20</v>
      </c>
      <c r="W122" s="80">
        <v>5.38</v>
      </c>
      <c r="X122" s="100">
        <v>6000</v>
      </c>
      <c r="Y122" s="100">
        <v>6000</v>
      </c>
      <c r="Z122" s="82">
        <v>1.1879999999999999</v>
      </c>
      <c r="AA122" s="100">
        <v>1000</v>
      </c>
      <c r="AB122" s="100">
        <v>1250</v>
      </c>
      <c r="AC122" s="101">
        <v>2</v>
      </c>
      <c r="AD122" s="101">
        <v>51</v>
      </c>
      <c r="AE122" s="101">
        <v>3.4999999999999969</v>
      </c>
      <c r="AF122" s="98">
        <v>18000</v>
      </c>
      <c r="AG122" s="99"/>
      <c r="AH122" s="99"/>
      <c r="AI122" s="99"/>
      <c r="AJ122" s="99"/>
    </row>
    <row r="123" spans="1:36" s="44" customFormat="1" x14ac:dyDescent="0.25">
      <c r="A123" s="14" t="s">
        <v>523</v>
      </c>
      <c r="B123" s="93" t="s">
        <v>149</v>
      </c>
      <c r="C123" s="93" t="s">
        <v>150</v>
      </c>
      <c r="D123" s="93">
        <v>5000</v>
      </c>
      <c r="E123" s="93">
        <v>15040</v>
      </c>
      <c r="F123" s="93">
        <v>18000</v>
      </c>
      <c r="G123" s="93">
        <v>0.69629773338516598</v>
      </c>
      <c r="H123" s="93">
        <v>70.330169999999995</v>
      </c>
      <c r="I123" s="93">
        <v>23000</v>
      </c>
      <c r="J123" s="72">
        <v>60</v>
      </c>
      <c r="K123" s="78">
        <v>70.330169999999995</v>
      </c>
      <c r="L123" s="78">
        <v>-2.7428690000000002E-3</v>
      </c>
      <c r="M123" s="78">
        <v>1.798191E-8</v>
      </c>
      <c r="N123" s="78">
        <v>3.521656E-11</v>
      </c>
      <c r="O123" s="78">
        <v>-2.6409029999999998E-15</v>
      </c>
      <c r="P123" s="78">
        <v>4.755386E-20</v>
      </c>
      <c r="Q123" s="78">
        <v>4.698588</v>
      </c>
      <c r="R123" s="78">
        <v>3.8853860000000001E-5</v>
      </c>
      <c r="S123" s="78">
        <v>7.8829709999999992E-9</v>
      </c>
      <c r="T123" s="78">
        <v>2.7918990000000001E-12</v>
      </c>
      <c r="U123" s="78">
        <v>-2.0973740000000001E-16</v>
      </c>
      <c r="V123" s="78">
        <v>3.6525170000000003E-21</v>
      </c>
      <c r="W123" s="80">
        <v>5.62</v>
      </c>
      <c r="X123" s="100">
        <v>6000</v>
      </c>
      <c r="Y123" s="100">
        <v>6000</v>
      </c>
      <c r="Z123" s="82">
        <v>1.1879999999999999</v>
      </c>
      <c r="AA123" s="100">
        <v>1000</v>
      </c>
      <c r="AB123" s="100">
        <v>1250</v>
      </c>
      <c r="AC123" s="101">
        <v>2</v>
      </c>
      <c r="AD123" s="101">
        <v>42</v>
      </c>
      <c r="AE123" s="101">
        <v>2.8571428571428572</v>
      </c>
      <c r="AF123" s="98">
        <v>18000</v>
      </c>
      <c r="AG123" s="99"/>
      <c r="AH123" s="99"/>
      <c r="AI123" s="99"/>
      <c r="AJ123" s="99"/>
    </row>
    <row r="124" spans="1:36" s="44" customFormat="1" x14ac:dyDescent="0.25">
      <c r="A124" s="14" t="s">
        <v>523</v>
      </c>
      <c r="B124" s="93" t="s">
        <v>149</v>
      </c>
      <c r="C124" s="93" t="s">
        <v>151</v>
      </c>
      <c r="D124" s="93">
        <v>6000</v>
      </c>
      <c r="E124" s="93">
        <v>19662</v>
      </c>
      <c r="F124" s="93">
        <v>25500</v>
      </c>
      <c r="G124" s="93">
        <v>0.70382849462316133</v>
      </c>
      <c r="H124" s="93">
        <v>72.865655799999999</v>
      </c>
      <c r="I124" s="93">
        <v>27000</v>
      </c>
      <c r="J124" s="72">
        <v>60</v>
      </c>
      <c r="K124" s="78">
        <v>72.865655799999999</v>
      </c>
      <c r="L124" s="78">
        <v>-3.53434585E-3</v>
      </c>
      <c r="M124" s="78">
        <v>2.1334212600000001E-7</v>
      </c>
      <c r="N124" s="78">
        <v>-3.3195875999999998E-12</v>
      </c>
      <c r="O124" s="78">
        <v>4.5396456700000002E-17</v>
      </c>
      <c r="P124" s="78">
        <v>-4.9023643800000002E-21</v>
      </c>
      <c r="Q124" s="78">
        <v>6.21582422</v>
      </c>
      <c r="R124" s="78">
        <v>1.4221634200000001E-4</v>
      </c>
      <c r="S124" s="78">
        <v>-2.8938307900000001E-8</v>
      </c>
      <c r="T124" s="78">
        <v>4.3855646400000003E-12</v>
      </c>
      <c r="U124" s="78">
        <v>-1.7880254199999999E-16</v>
      </c>
      <c r="V124" s="78">
        <v>2.1944383899999999E-21</v>
      </c>
      <c r="W124" s="80">
        <v>5.62</v>
      </c>
      <c r="X124" s="100">
        <v>6000</v>
      </c>
      <c r="Y124" s="100">
        <v>6000</v>
      </c>
      <c r="Z124" s="82">
        <v>1.1879999999999999</v>
      </c>
      <c r="AA124" s="100">
        <v>1000</v>
      </c>
      <c r="AB124" s="100">
        <v>1250</v>
      </c>
      <c r="AC124" s="101">
        <v>2</v>
      </c>
      <c r="AD124" s="101">
        <v>42</v>
      </c>
      <c r="AE124" s="101">
        <v>2.8571428571428572</v>
      </c>
      <c r="AF124" s="98">
        <v>18000</v>
      </c>
      <c r="AG124" s="99"/>
      <c r="AH124" s="99"/>
      <c r="AI124" s="99"/>
      <c r="AJ124" s="99"/>
    </row>
    <row r="125" spans="1:36" s="44" customFormat="1" x14ac:dyDescent="0.25">
      <c r="A125" s="14" t="s">
        <v>523</v>
      </c>
      <c r="B125" s="93" t="s">
        <v>149</v>
      </c>
      <c r="C125" s="93" t="s">
        <v>152</v>
      </c>
      <c r="D125" s="93">
        <v>9000</v>
      </c>
      <c r="E125" s="93">
        <v>29962</v>
      </c>
      <c r="F125" s="93">
        <v>35000</v>
      </c>
      <c r="G125" s="93">
        <v>0.68082849462316097</v>
      </c>
      <c r="H125" s="93">
        <v>55.865655799999999</v>
      </c>
      <c r="I125" s="93">
        <v>37500</v>
      </c>
      <c r="J125" s="72">
        <v>60</v>
      </c>
      <c r="K125" s="78">
        <v>53.637999999999998</v>
      </c>
      <c r="L125" s="78">
        <v>1.8122E-4</v>
      </c>
      <c r="M125" s="78">
        <v>-1.5996000000000001E-7</v>
      </c>
      <c r="N125" s="78">
        <v>1.2403E-11</v>
      </c>
      <c r="O125" s="78">
        <v>-3.2908000000000001E-16</v>
      </c>
      <c r="P125" s="78">
        <v>2.5280000000000001E-21</v>
      </c>
      <c r="Q125" s="78">
        <v>4.8851000000000004</v>
      </c>
      <c r="R125" s="78">
        <v>4.4155000000000003E-4</v>
      </c>
      <c r="S125" s="78">
        <v>-2.5635999999999999E-8</v>
      </c>
      <c r="T125" s="78">
        <v>2.0887000000000002E-12</v>
      </c>
      <c r="U125" s="78">
        <v>-6.5289999999999997E-17</v>
      </c>
      <c r="V125" s="78">
        <v>6.6600000000000002E-22</v>
      </c>
      <c r="W125" s="80">
        <v>5.62</v>
      </c>
      <c r="X125" s="100">
        <v>6000</v>
      </c>
      <c r="Y125" s="100">
        <v>6000</v>
      </c>
      <c r="Z125" s="82">
        <v>1.1879999999999999</v>
      </c>
      <c r="AA125" s="100">
        <v>1000</v>
      </c>
      <c r="AB125" s="100">
        <v>1250</v>
      </c>
      <c r="AC125" s="101">
        <v>1</v>
      </c>
      <c r="AD125" s="101">
        <v>38</v>
      </c>
      <c r="AE125" s="101">
        <v>2.8461542857142801</v>
      </c>
      <c r="AF125" s="98">
        <v>18000</v>
      </c>
      <c r="AG125" s="99"/>
      <c r="AH125" s="99"/>
      <c r="AI125" s="99"/>
      <c r="AJ125" s="99"/>
    </row>
    <row r="126" spans="1:36" s="44" customFormat="1" x14ac:dyDescent="0.25">
      <c r="A126" s="14" t="s">
        <v>523</v>
      </c>
      <c r="B126" s="93" t="s">
        <v>153</v>
      </c>
      <c r="C126" s="93" t="s">
        <v>154</v>
      </c>
      <c r="D126" s="93">
        <v>750</v>
      </c>
      <c r="E126" s="93">
        <v>8150</v>
      </c>
      <c r="F126" s="93">
        <v>11000</v>
      </c>
      <c r="G126" s="93">
        <v>0.76131000000000004</v>
      </c>
      <c r="H126" s="93">
        <v>103.6</v>
      </c>
      <c r="I126" s="93">
        <v>13000</v>
      </c>
      <c r="J126" s="72">
        <v>60</v>
      </c>
      <c r="K126" s="78">
        <v>103.63455999999999</v>
      </c>
      <c r="L126" s="78">
        <v>3.0603723000000001E-3</v>
      </c>
      <c r="M126" s="78">
        <v>-3.2508172E-6</v>
      </c>
      <c r="N126" s="78">
        <v>6.0039000000000003E-10</v>
      </c>
      <c r="O126" s="78">
        <v>-4.8447000000000002E-14</v>
      </c>
      <c r="P126" s="78">
        <v>1.3298E-18</v>
      </c>
      <c r="Q126" s="78">
        <v>3.5253000000000001</v>
      </c>
      <c r="R126" s="78">
        <v>8.8296000000000002E-4</v>
      </c>
      <c r="S126" s="78">
        <v>-3.8102000000000001E-7</v>
      </c>
      <c r="T126" s="78">
        <v>9.1085999999999997E-11</v>
      </c>
      <c r="U126" s="78">
        <v>-8.9907999999999993E-15</v>
      </c>
      <c r="V126" s="78">
        <v>3.0543000000000002E-19</v>
      </c>
      <c r="W126" s="80">
        <v>6.75</v>
      </c>
      <c r="X126" s="100">
        <v>6000</v>
      </c>
      <c r="Y126" s="100">
        <v>6000</v>
      </c>
      <c r="Z126" s="82">
        <v>1.1879999999999999</v>
      </c>
      <c r="AA126" s="100">
        <v>1000</v>
      </c>
      <c r="AB126" s="100">
        <v>1250</v>
      </c>
      <c r="AC126" s="101"/>
      <c r="AD126" s="101"/>
      <c r="AE126" s="101"/>
      <c r="AF126" s="98">
        <v>18000</v>
      </c>
      <c r="AG126" s="99"/>
      <c r="AH126" s="99"/>
      <c r="AI126" s="99"/>
      <c r="AJ126" s="99"/>
    </row>
    <row r="127" spans="1:36" s="44" customFormat="1" x14ac:dyDescent="0.25">
      <c r="A127" s="14" t="s">
        <v>523</v>
      </c>
      <c r="B127" s="93" t="s">
        <v>153</v>
      </c>
      <c r="C127" s="93" t="s">
        <v>155</v>
      </c>
      <c r="D127" s="93">
        <v>900</v>
      </c>
      <c r="E127" s="93">
        <v>9560</v>
      </c>
      <c r="F127" s="93">
        <v>13000</v>
      </c>
      <c r="G127" s="93">
        <v>0.7779780580276503</v>
      </c>
      <c r="H127" s="93">
        <v>116.57402999999999</v>
      </c>
      <c r="I127" s="93">
        <v>15000</v>
      </c>
      <c r="J127" s="72">
        <v>60</v>
      </c>
      <c r="K127" s="78">
        <v>116.57402999999999</v>
      </c>
      <c r="L127" s="78">
        <v>7.6696900000000005E-4</v>
      </c>
      <c r="M127" s="78">
        <v>-3.2547400000000002E-7</v>
      </c>
      <c r="N127" s="78">
        <v>-5.9000699999999994E-11</v>
      </c>
      <c r="O127" s="78">
        <v>7.7597999999999996E-15</v>
      </c>
      <c r="P127" s="78">
        <v>-2.64897E-19</v>
      </c>
      <c r="Q127" s="78">
        <v>5.6988500000000002</v>
      </c>
      <c r="R127" s="78">
        <v>-1.6677900000000001E-4</v>
      </c>
      <c r="S127" s="78">
        <v>1.25705E-7</v>
      </c>
      <c r="T127" s="78">
        <v>-1.7985099999999999E-11</v>
      </c>
      <c r="U127" s="78">
        <v>1.29094E-15</v>
      </c>
      <c r="V127" s="78">
        <v>-3.5901699999999998E-20</v>
      </c>
      <c r="W127" s="80">
        <v>6.75</v>
      </c>
      <c r="X127" s="100">
        <v>6000</v>
      </c>
      <c r="Y127" s="100">
        <v>6000</v>
      </c>
      <c r="Z127" s="82">
        <v>1.1879999999999999</v>
      </c>
      <c r="AA127" s="100">
        <v>1000</v>
      </c>
      <c r="AB127" s="100">
        <v>1250</v>
      </c>
      <c r="AC127" s="101"/>
      <c r="AD127" s="101"/>
      <c r="AE127" s="101"/>
      <c r="AF127" s="98">
        <v>18000</v>
      </c>
      <c r="AG127" s="99"/>
      <c r="AH127" s="99"/>
      <c r="AI127" s="99"/>
      <c r="AJ127" s="99"/>
    </row>
    <row r="128" spans="1:36" s="44" customFormat="1" x14ac:dyDescent="0.25">
      <c r="A128" s="14" t="s">
        <v>523</v>
      </c>
      <c r="B128" s="93" t="s">
        <v>153</v>
      </c>
      <c r="C128" s="93" t="s">
        <v>156</v>
      </c>
      <c r="D128" s="93">
        <v>1125</v>
      </c>
      <c r="E128" s="93">
        <v>12544</v>
      </c>
      <c r="F128" s="93">
        <v>17000</v>
      </c>
      <c r="G128" s="93">
        <v>0.79595561263648396</v>
      </c>
      <c r="H128" s="93">
        <v>103.488541</v>
      </c>
      <c r="I128" s="93">
        <v>23200</v>
      </c>
      <c r="J128" s="72">
        <v>60</v>
      </c>
      <c r="K128" s="78">
        <v>103.488541</v>
      </c>
      <c r="L128" s="78">
        <v>1.19322598E-3</v>
      </c>
      <c r="M128" s="78">
        <v>-4.9138028700000003E-7</v>
      </c>
      <c r="N128" s="78">
        <v>4.67590499E-11</v>
      </c>
      <c r="O128" s="78">
        <v>-2.4838489100000001E-15</v>
      </c>
      <c r="P128" s="78">
        <v>4.0479587200000001E-20</v>
      </c>
      <c r="Q128" s="78">
        <v>4.9532778799999999</v>
      </c>
      <c r="R128" s="78">
        <v>4.5712319999999999E-4</v>
      </c>
      <c r="S128" s="78">
        <v>-2.8249851899999999E-8</v>
      </c>
      <c r="T128" s="78">
        <v>3.8011198599999999E-12</v>
      </c>
      <c r="U128" s="78">
        <v>-2.0038459199999999E-16</v>
      </c>
      <c r="V128" s="78">
        <v>3.2479513500000001E-21</v>
      </c>
      <c r="W128" s="80">
        <v>6.75</v>
      </c>
      <c r="X128" s="100">
        <v>6000</v>
      </c>
      <c r="Y128" s="100">
        <v>6000</v>
      </c>
      <c r="Z128" s="82">
        <v>1.1879999999999999</v>
      </c>
      <c r="AA128" s="100">
        <v>1000</v>
      </c>
      <c r="AB128" s="100">
        <v>1250</v>
      </c>
      <c r="AC128" s="101"/>
      <c r="AD128" s="101"/>
      <c r="AE128" s="101"/>
      <c r="AF128" s="98">
        <v>18000</v>
      </c>
      <c r="AG128" s="99"/>
      <c r="AH128" s="99"/>
      <c r="AI128" s="99"/>
      <c r="AJ128" s="99"/>
    </row>
    <row r="129" spans="1:36" s="44" customFormat="1" x14ac:dyDescent="0.25">
      <c r="A129" s="14" t="s">
        <v>523</v>
      </c>
      <c r="B129" s="93" t="s">
        <v>153</v>
      </c>
      <c r="C129" s="93" t="s">
        <v>157</v>
      </c>
      <c r="D129" s="93">
        <v>1800</v>
      </c>
      <c r="E129" s="93">
        <v>15894</v>
      </c>
      <c r="F129" s="93">
        <v>19000</v>
      </c>
      <c r="G129" s="93">
        <v>0.71942042407173079</v>
      </c>
      <c r="H129" s="93">
        <v>92.517899999999997</v>
      </c>
      <c r="I129" s="93">
        <v>22000</v>
      </c>
      <c r="J129" s="72">
        <v>60</v>
      </c>
      <c r="K129" s="78">
        <v>92.517899999999997</v>
      </c>
      <c r="L129" s="78">
        <v>4.0165600000000002E-4</v>
      </c>
      <c r="M129" s="78">
        <v>-2.64292E-7</v>
      </c>
      <c r="N129" s="78">
        <v>1.7094000000000001E-11</v>
      </c>
      <c r="O129" s="78">
        <v>-6.7489999999999998E-16</v>
      </c>
      <c r="P129" s="78">
        <v>7.6473599999999998E-21</v>
      </c>
      <c r="Q129" s="78">
        <v>7.3967700000000001</v>
      </c>
      <c r="R129" s="78">
        <v>1.1080499999999999E-4</v>
      </c>
      <c r="S129" s="78">
        <v>-4.4919600000000003E-9</v>
      </c>
      <c r="T129" s="78">
        <v>3.1472099999999999E-12</v>
      </c>
      <c r="U129" s="78">
        <v>-2.2764899999999999E-16</v>
      </c>
      <c r="V129" s="78">
        <v>4.4381699999999999E-21</v>
      </c>
      <c r="W129" s="80">
        <v>6.75</v>
      </c>
      <c r="X129" s="100">
        <v>6000</v>
      </c>
      <c r="Y129" s="100">
        <v>6000</v>
      </c>
      <c r="Z129" s="82">
        <v>1.1879999999999999</v>
      </c>
      <c r="AA129" s="100">
        <v>1000</v>
      </c>
      <c r="AB129" s="100">
        <v>1250</v>
      </c>
      <c r="AC129" s="101"/>
      <c r="AD129" s="101"/>
      <c r="AE129" s="101"/>
      <c r="AF129" s="98">
        <v>18000</v>
      </c>
      <c r="AG129" s="99"/>
      <c r="AH129" s="99"/>
      <c r="AI129" s="99"/>
      <c r="AJ129" s="99"/>
    </row>
    <row r="130" spans="1:36" s="44" customFormat="1" x14ac:dyDescent="0.25">
      <c r="A130" s="14" t="s">
        <v>523</v>
      </c>
      <c r="B130" s="93" t="s">
        <v>158</v>
      </c>
      <c r="C130" s="93" t="s">
        <v>159</v>
      </c>
      <c r="D130" s="93">
        <v>2100</v>
      </c>
      <c r="E130" s="93">
        <v>18250</v>
      </c>
      <c r="F130" s="93">
        <v>24000</v>
      </c>
      <c r="G130" s="93">
        <v>0.79671732559095088</v>
      </c>
      <c r="H130" s="93">
        <v>147.357032</v>
      </c>
      <c r="I130" s="93">
        <v>36000</v>
      </c>
      <c r="J130" s="72">
        <v>60</v>
      </c>
      <c r="K130" s="78">
        <v>147.357032</v>
      </c>
      <c r="L130" s="78">
        <v>-2.5826819799999999E-3</v>
      </c>
      <c r="M130" s="78">
        <v>1.4644751899999999E-7</v>
      </c>
      <c r="N130" s="78">
        <v>-9.3622914500000001E-12</v>
      </c>
      <c r="O130" s="78">
        <v>1.18481554E-16</v>
      </c>
      <c r="P130" s="78">
        <v>-4.4478858000000003E-23</v>
      </c>
      <c r="Q130" s="78">
        <v>13.8360482</v>
      </c>
      <c r="R130" s="78">
        <v>-3.6943026899999997E-4</v>
      </c>
      <c r="S130" s="78">
        <v>6.2235829199999994E-8</v>
      </c>
      <c r="T130" s="78">
        <v>-2.0730163899999998E-12</v>
      </c>
      <c r="U130" s="78">
        <v>2.7416339400000001E-17</v>
      </c>
      <c r="V130" s="78">
        <v>-2.7341720600000002E-22</v>
      </c>
      <c r="W130" s="80">
        <v>8.6199999999999992</v>
      </c>
      <c r="X130" s="100">
        <v>6000</v>
      </c>
      <c r="Y130" s="100">
        <v>6000</v>
      </c>
      <c r="Z130" s="82">
        <v>1.375</v>
      </c>
      <c r="AA130" s="100">
        <v>1345</v>
      </c>
      <c r="AB130" s="100">
        <v>1680</v>
      </c>
      <c r="AC130" s="101"/>
      <c r="AD130" s="101"/>
      <c r="AE130" s="101"/>
      <c r="AF130" s="98">
        <v>22000</v>
      </c>
      <c r="AG130" s="99"/>
      <c r="AH130" s="99"/>
      <c r="AI130" s="99"/>
      <c r="AJ130" s="99"/>
    </row>
    <row r="131" spans="1:36" s="44" customFormat="1" x14ac:dyDescent="0.25">
      <c r="A131" s="14" t="s">
        <v>523</v>
      </c>
      <c r="B131" s="93" t="s">
        <v>158</v>
      </c>
      <c r="C131" s="93" t="s">
        <v>160</v>
      </c>
      <c r="D131" s="93">
        <v>1950</v>
      </c>
      <c r="E131" s="93">
        <v>18000</v>
      </c>
      <c r="F131" s="93">
        <v>23000</v>
      </c>
      <c r="G131" s="93">
        <v>0.7788408535684378</v>
      </c>
      <c r="H131" s="93">
        <v>123.25</v>
      </c>
      <c r="I131" s="93">
        <v>29500</v>
      </c>
      <c r="J131" s="72">
        <v>60</v>
      </c>
      <c r="K131" s="78">
        <v>123.25</v>
      </c>
      <c r="L131" s="78">
        <v>-1.5176098999999999E-3</v>
      </c>
      <c r="M131" s="78">
        <v>-3.2930358299999998E-8</v>
      </c>
      <c r="N131" s="78">
        <v>2.15532815E-12</v>
      </c>
      <c r="O131" s="78">
        <v>-1.89827471E-16</v>
      </c>
      <c r="P131" s="78">
        <v>2.6450400000000001E-21</v>
      </c>
      <c r="Q131" s="78">
        <v>11.3356704</v>
      </c>
      <c r="R131" s="78">
        <v>-3.1530908599999998E-4</v>
      </c>
      <c r="S131" s="78">
        <v>6.6716230000000001E-8</v>
      </c>
      <c r="T131" s="78">
        <v>-3.4039274900000001E-12</v>
      </c>
      <c r="U131" s="78">
        <v>8.2853948099999996E-17</v>
      </c>
      <c r="V131" s="78">
        <v>-1.0763093200000001E-21</v>
      </c>
      <c r="W131" s="80">
        <v>8.6199999999999992</v>
      </c>
      <c r="X131" s="100">
        <v>6000</v>
      </c>
      <c r="Y131" s="100">
        <v>6000</v>
      </c>
      <c r="Z131" s="82">
        <v>1.375</v>
      </c>
      <c r="AA131" s="100">
        <v>1345</v>
      </c>
      <c r="AB131" s="100">
        <v>1680</v>
      </c>
      <c r="AC131" s="101"/>
      <c r="AD131" s="101"/>
      <c r="AE131" s="101"/>
      <c r="AF131" s="98">
        <v>22000</v>
      </c>
      <c r="AG131" s="99"/>
      <c r="AH131" s="99"/>
      <c r="AI131" s="99"/>
      <c r="AJ131" s="99"/>
    </row>
    <row r="132" spans="1:36" s="44" customFormat="1" x14ac:dyDescent="0.25">
      <c r="A132" s="14" t="s">
        <v>523</v>
      </c>
      <c r="B132" s="93" t="s">
        <v>158</v>
      </c>
      <c r="C132" s="93" t="s">
        <v>161</v>
      </c>
      <c r="D132" s="93">
        <v>1875</v>
      </c>
      <c r="E132" s="93">
        <v>16100</v>
      </c>
      <c r="F132" s="93">
        <v>22500</v>
      </c>
      <c r="G132" s="93">
        <v>0.70315537045079157</v>
      </c>
      <c r="H132" s="93">
        <v>100.080474</v>
      </c>
      <c r="I132" s="93">
        <v>26000</v>
      </c>
      <c r="J132" s="72">
        <v>60</v>
      </c>
      <c r="K132" s="78">
        <v>100.080474</v>
      </c>
      <c r="L132" s="78">
        <v>-4.8332200000000001E-4</v>
      </c>
      <c r="M132" s="78">
        <v>6.8330199999999996E-9</v>
      </c>
      <c r="N132" s="78">
        <v>-9.5445999999999995E-12</v>
      </c>
      <c r="O132" s="78">
        <v>3.2990799999999999E-16</v>
      </c>
      <c r="P132" s="78">
        <v>-4.0759099999999997E-21</v>
      </c>
      <c r="Q132" s="78">
        <v>9.87068206</v>
      </c>
      <c r="R132" s="78">
        <v>-9.8355899999999998E-5</v>
      </c>
      <c r="S132" s="78">
        <v>3.17885E-8</v>
      </c>
      <c r="T132" s="78">
        <v>-1.57667E-12</v>
      </c>
      <c r="U132" s="78">
        <v>5.1118699999999999E-17</v>
      </c>
      <c r="V132" s="78">
        <v>-1.16551E-21</v>
      </c>
      <c r="W132" s="80">
        <v>8.6199999999999992</v>
      </c>
      <c r="X132" s="100">
        <v>6000</v>
      </c>
      <c r="Y132" s="100">
        <v>6000</v>
      </c>
      <c r="Z132" s="82">
        <v>1.375</v>
      </c>
      <c r="AA132" s="100">
        <v>1345</v>
      </c>
      <c r="AB132" s="100">
        <v>1680</v>
      </c>
      <c r="AC132" s="101"/>
      <c r="AD132" s="101"/>
      <c r="AE132" s="101"/>
      <c r="AF132" s="98">
        <v>22000</v>
      </c>
      <c r="AG132" s="99"/>
      <c r="AH132" s="99"/>
      <c r="AI132" s="99"/>
      <c r="AJ132" s="99"/>
    </row>
    <row r="133" spans="1:36" s="44" customFormat="1" x14ac:dyDescent="0.25">
      <c r="A133" s="14" t="s">
        <v>523</v>
      </c>
      <c r="B133" s="93" t="s">
        <v>158</v>
      </c>
      <c r="C133" s="93" t="s">
        <v>162</v>
      </c>
      <c r="D133" s="93">
        <v>2100</v>
      </c>
      <c r="E133" s="93">
        <v>22190</v>
      </c>
      <c r="F133" s="93">
        <v>32000</v>
      </c>
      <c r="G133" s="93">
        <v>0.75926001696049672</v>
      </c>
      <c r="H133" s="93">
        <v>157.51419999999999</v>
      </c>
      <c r="I133" s="93">
        <v>35000</v>
      </c>
      <c r="J133" s="72">
        <v>60</v>
      </c>
      <c r="K133" s="78">
        <v>157.51419999999999</v>
      </c>
      <c r="L133" s="78">
        <v>-1.1900000000000001E-3</v>
      </c>
      <c r="M133" s="78">
        <v>3.5600000000000001E-7</v>
      </c>
      <c r="N133" s="78">
        <v>-3.5800000000000002E-11</v>
      </c>
      <c r="O133" s="78">
        <v>1.2199999999999999E-15</v>
      </c>
      <c r="P133" s="78">
        <v>-1.5000000000000001E-20</v>
      </c>
      <c r="Q133" s="78">
        <v>17.434999999999999</v>
      </c>
      <c r="R133" s="78">
        <v>1.63E-4</v>
      </c>
      <c r="S133" s="78">
        <v>7.6700000000000002E-9</v>
      </c>
      <c r="T133" s="78">
        <v>1.27E-12</v>
      </c>
      <c r="U133" s="78">
        <v>-5.7300000000000002E-17</v>
      </c>
      <c r="V133" s="78">
        <v>5.9399999999999998E-22</v>
      </c>
      <c r="W133" s="80">
        <v>8.6199999999999992</v>
      </c>
      <c r="X133" s="100">
        <v>6000</v>
      </c>
      <c r="Y133" s="100">
        <v>6000</v>
      </c>
      <c r="Z133" s="82">
        <v>1.375</v>
      </c>
      <c r="AA133" s="100">
        <v>1345</v>
      </c>
      <c r="AB133" s="100">
        <v>1680</v>
      </c>
      <c r="AC133" s="101"/>
      <c r="AD133" s="101"/>
      <c r="AE133" s="101"/>
      <c r="AF133" s="98">
        <v>22000</v>
      </c>
      <c r="AG133" s="99"/>
      <c r="AH133" s="99"/>
      <c r="AI133" s="99"/>
      <c r="AJ133" s="99"/>
    </row>
    <row r="134" spans="1:36" s="44" customFormat="1" x14ac:dyDescent="0.25">
      <c r="A134" s="14" t="s">
        <v>523</v>
      </c>
      <c r="B134" s="93" t="s">
        <v>158</v>
      </c>
      <c r="C134" s="93" t="s">
        <v>163</v>
      </c>
      <c r="D134" s="93">
        <v>3000</v>
      </c>
      <c r="E134" s="93">
        <v>23285</v>
      </c>
      <c r="F134" s="93">
        <v>29000</v>
      </c>
      <c r="G134" s="93">
        <v>0.71136212181715441</v>
      </c>
      <c r="H134" s="93">
        <v>125.242339</v>
      </c>
      <c r="I134" s="93">
        <v>36000</v>
      </c>
      <c r="J134" s="72">
        <v>60</v>
      </c>
      <c r="K134" s="78">
        <v>125.242339</v>
      </c>
      <c r="L134" s="78">
        <v>5.6722259700000004E-4</v>
      </c>
      <c r="M134" s="78">
        <v>-6.8416784400000001E-8</v>
      </c>
      <c r="N134" s="78">
        <v>5.0676716499999997E-13</v>
      </c>
      <c r="O134" s="78">
        <v>-1.50874395E-17</v>
      </c>
      <c r="P134" s="78">
        <v>1.07080053E-22</v>
      </c>
      <c r="Q134" s="78">
        <v>14.359200299999999</v>
      </c>
      <c r="R134" s="78">
        <v>-6.5395188999999997E-4</v>
      </c>
      <c r="S134" s="78">
        <v>1.7371053100000001E-7</v>
      </c>
      <c r="T134" s="78">
        <v>-1.03663495E-11</v>
      </c>
      <c r="U134" s="78">
        <v>2.7836682600000002E-16</v>
      </c>
      <c r="V134" s="78">
        <v>-2.8093652499999999E-21</v>
      </c>
      <c r="W134" s="80">
        <v>8.6199999999999992</v>
      </c>
      <c r="X134" s="100">
        <v>6000</v>
      </c>
      <c r="Y134" s="100">
        <v>6000</v>
      </c>
      <c r="Z134" s="82">
        <v>1.375</v>
      </c>
      <c r="AA134" s="100">
        <v>1345</v>
      </c>
      <c r="AB134" s="100">
        <v>1680</v>
      </c>
      <c r="AC134" s="101"/>
      <c r="AD134" s="101"/>
      <c r="AE134" s="101"/>
      <c r="AF134" s="98">
        <v>22000</v>
      </c>
      <c r="AG134" s="99"/>
      <c r="AH134" s="99"/>
      <c r="AI134" s="99"/>
      <c r="AJ134" s="99"/>
    </row>
    <row r="135" spans="1:36" s="44" customFormat="1" x14ac:dyDescent="0.25">
      <c r="A135" s="14" t="s">
        <v>523</v>
      </c>
      <c r="B135" s="93" t="s">
        <v>158</v>
      </c>
      <c r="C135" s="93" t="s">
        <v>164</v>
      </c>
      <c r="D135" s="93">
        <v>2925</v>
      </c>
      <c r="E135" s="93">
        <v>21345</v>
      </c>
      <c r="F135" s="93">
        <v>28500</v>
      </c>
      <c r="G135" s="93">
        <v>0.7378682708010591</v>
      </c>
      <c r="H135" s="93">
        <v>100.042276</v>
      </c>
      <c r="I135" s="93">
        <v>36000</v>
      </c>
      <c r="J135" s="72">
        <v>60</v>
      </c>
      <c r="K135" s="78">
        <v>100.042276</v>
      </c>
      <c r="L135" s="78">
        <v>1.02279885E-3</v>
      </c>
      <c r="M135" s="78">
        <v>-2.1914889900000001E-8</v>
      </c>
      <c r="N135" s="78">
        <v>-5.5303187299999997E-12</v>
      </c>
      <c r="O135" s="78">
        <v>1.92319582E-16</v>
      </c>
      <c r="P135" s="78">
        <v>-2.30243496E-21</v>
      </c>
      <c r="Q135" s="78">
        <v>11.3311081</v>
      </c>
      <c r="R135" s="78">
        <v>1.28830502E-4</v>
      </c>
      <c r="S135" s="78">
        <v>1.7307323099999999E-8</v>
      </c>
      <c r="T135" s="78">
        <v>-1.9616030799999999E-13</v>
      </c>
      <c r="U135" s="78">
        <v>-9.66136324E-18</v>
      </c>
      <c r="V135" s="78">
        <v>1.4175449399999999E-22</v>
      </c>
      <c r="W135" s="80">
        <v>8.6199999999999992</v>
      </c>
      <c r="X135" s="100">
        <v>6000</v>
      </c>
      <c r="Y135" s="100">
        <v>6000</v>
      </c>
      <c r="Z135" s="82">
        <v>1.375</v>
      </c>
      <c r="AA135" s="100">
        <v>1345</v>
      </c>
      <c r="AB135" s="100">
        <v>1680</v>
      </c>
      <c r="AC135" s="101"/>
      <c r="AD135" s="101"/>
      <c r="AE135" s="101"/>
      <c r="AF135" s="98">
        <v>22000</v>
      </c>
      <c r="AG135" s="99"/>
      <c r="AH135" s="99"/>
      <c r="AI135" s="99"/>
      <c r="AJ135" s="99"/>
    </row>
    <row r="136" spans="1:36" s="44" customFormat="1" x14ac:dyDescent="0.25">
      <c r="A136" s="14" t="s">
        <v>523</v>
      </c>
      <c r="B136" s="93" t="s">
        <v>165</v>
      </c>
      <c r="C136" s="93" t="s">
        <v>166</v>
      </c>
      <c r="D136" s="93">
        <v>4650</v>
      </c>
      <c r="E136" s="93">
        <v>37440</v>
      </c>
      <c r="F136" s="93">
        <v>45000</v>
      </c>
      <c r="G136" s="93">
        <v>0.72309797738104409</v>
      </c>
      <c r="H136" s="93">
        <v>214.88434599999999</v>
      </c>
      <c r="I136" s="93">
        <v>55000</v>
      </c>
      <c r="J136" s="72">
        <v>60</v>
      </c>
      <c r="K136" s="78">
        <v>214.88434599999999</v>
      </c>
      <c r="L136" s="78">
        <v>-1.1581317699999999E-3</v>
      </c>
      <c r="M136" s="78">
        <v>-4.7230317899999999E-9</v>
      </c>
      <c r="N136" s="78">
        <v>6.8999882400000005E-13</v>
      </c>
      <c r="O136" s="78">
        <v>-3.4470604600000003E-17</v>
      </c>
      <c r="P136" s="78">
        <v>2.6565832299999999E-22</v>
      </c>
      <c r="Q136" s="78">
        <v>39.955131999999999</v>
      </c>
      <c r="R136" s="78">
        <v>5.7021005500000003E-4</v>
      </c>
      <c r="S136" s="78">
        <v>-1.09064144E-7</v>
      </c>
      <c r="T136" s="78">
        <v>7.5245651699999999E-12</v>
      </c>
      <c r="U136" s="78">
        <v>-1.7168607199999999E-16</v>
      </c>
      <c r="V136" s="78">
        <v>1.25391004E-21</v>
      </c>
      <c r="W136" s="80">
        <v>9.5</v>
      </c>
      <c r="X136" s="100">
        <v>6000</v>
      </c>
      <c r="Y136" s="100">
        <v>6000</v>
      </c>
      <c r="Z136" s="82">
        <v>1.5</v>
      </c>
      <c r="AA136" s="100">
        <v>1600</v>
      </c>
      <c r="AB136" s="100">
        <v>2000</v>
      </c>
      <c r="AC136" s="101"/>
      <c r="AD136" s="101"/>
      <c r="AE136" s="101"/>
      <c r="AF136" s="98">
        <v>65000</v>
      </c>
      <c r="AG136" s="99"/>
      <c r="AH136" s="99"/>
      <c r="AI136" s="99"/>
      <c r="AJ136" s="99"/>
    </row>
    <row r="137" spans="1:36" s="44" customFormat="1" x14ac:dyDescent="0.25">
      <c r="A137" s="14" t="s">
        <v>523</v>
      </c>
      <c r="B137" s="93" t="s">
        <v>165</v>
      </c>
      <c r="C137" s="93" t="s">
        <v>167</v>
      </c>
      <c r="D137" s="93">
        <v>4200</v>
      </c>
      <c r="E137" s="93">
        <v>35875</v>
      </c>
      <c r="F137" s="93">
        <v>43000</v>
      </c>
      <c r="G137" s="93">
        <v>0.7445936542442475</v>
      </c>
      <c r="H137" s="93">
        <v>178.73209399999999</v>
      </c>
      <c r="I137" s="93">
        <v>55000</v>
      </c>
      <c r="J137" s="72">
        <v>60</v>
      </c>
      <c r="K137" s="78">
        <v>178.73209399999999</v>
      </c>
      <c r="L137" s="78">
        <v>-1.1541499E-3</v>
      </c>
      <c r="M137" s="78">
        <v>5.2374183200000002E-8</v>
      </c>
      <c r="N137" s="78">
        <v>-3.02058741E-12</v>
      </c>
      <c r="O137" s="78">
        <v>4.65166058E-17</v>
      </c>
      <c r="P137" s="78">
        <v>-3.2630799699999998E-22</v>
      </c>
      <c r="Q137" s="78">
        <v>30.541554900000001</v>
      </c>
      <c r="R137" s="78">
        <v>4.3477522100000002E-4</v>
      </c>
      <c r="S137" s="78">
        <v>-7.1077014800000002E-9</v>
      </c>
      <c r="T137" s="78">
        <v>6.0138671799999997E-13</v>
      </c>
      <c r="U137" s="78">
        <v>-1.7502427500000001E-17</v>
      </c>
      <c r="V137" s="78">
        <v>1.3096348699999999E-22</v>
      </c>
      <c r="W137" s="80">
        <v>9.5</v>
      </c>
      <c r="X137" s="100">
        <v>6000</v>
      </c>
      <c r="Y137" s="100">
        <v>6000</v>
      </c>
      <c r="Z137" s="82">
        <v>1.5</v>
      </c>
      <c r="AA137" s="100">
        <v>1600</v>
      </c>
      <c r="AB137" s="100">
        <v>2000</v>
      </c>
      <c r="AC137" s="101"/>
      <c r="AD137" s="101"/>
      <c r="AE137" s="101"/>
      <c r="AF137" s="98">
        <v>65000</v>
      </c>
      <c r="AG137" s="99"/>
      <c r="AH137" s="99"/>
      <c r="AI137" s="99"/>
      <c r="AJ137" s="99"/>
    </row>
    <row r="138" spans="1:36" s="44" customFormat="1" x14ac:dyDescent="0.25">
      <c r="A138" s="14" t="s">
        <v>523</v>
      </c>
      <c r="B138" s="93" t="s">
        <v>165</v>
      </c>
      <c r="C138" s="93" t="s">
        <v>168</v>
      </c>
      <c r="D138" s="93">
        <v>3825</v>
      </c>
      <c r="E138" s="93">
        <v>31960</v>
      </c>
      <c r="F138" s="93">
        <v>39000</v>
      </c>
      <c r="G138" s="93">
        <v>0.71912435218804449</v>
      </c>
      <c r="H138" s="93">
        <v>150.292642</v>
      </c>
      <c r="I138" s="93">
        <v>50000</v>
      </c>
      <c r="J138" s="72">
        <v>60</v>
      </c>
      <c r="K138" s="78">
        <v>150.292642</v>
      </c>
      <c r="L138" s="78">
        <v>-6.3653983400000001E-4</v>
      </c>
      <c r="M138" s="78">
        <v>-1.6743971000000002E-8</v>
      </c>
      <c r="N138" s="78">
        <v>6.21740103E-13</v>
      </c>
      <c r="O138" s="78">
        <v>-3.7328899000000001E-17</v>
      </c>
      <c r="P138" s="78">
        <v>3.3367819799999999E-22</v>
      </c>
      <c r="Q138" s="78">
        <v>25.085564000000002</v>
      </c>
      <c r="R138" s="78">
        <v>3.8000910700000001E-4</v>
      </c>
      <c r="S138" s="78">
        <v>-5.4105432200000003E-8</v>
      </c>
      <c r="T138" s="78">
        <v>4.2397918799999998E-12</v>
      </c>
      <c r="U138" s="78">
        <v>-1.1198428899999999E-16</v>
      </c>
      <c r="V138" s="78">
        <v>9.26119358E-22</v>
      </c>
      <c r="W138" s="80">
        <v>9.5</v>
      </c>
      <c r="X138" s="100">
        <v>6000</v>
      </c>
      <c r="Y138" s="100">
        <v>6000</v>
      </c>
      <c r="Z138" s="82">
        <v>1.5</v>
      </c>
      <c r="AA138" s="100">
        <v>1600</v>
      </c>
      <c r="AB138" s="100">
        <v>2000</v>
      </c>
      <c r="AC138" s="101"/>
      <c r="AD138" s="101"/>
      <c r="AE138" s="101"/>
      <c r="AF138" s="98">
        <v>65000</v>
      </c>
      <c r="AG138" s="99"/>
      <c r="AH138" s="99"/>
      <c r="AI138" s="99"/>
      <c r="AJ138" s="99"/>
    </row>
    <row r="139" spans="1:36" s="44" customFormat="1" x14ac:dyDescent="0.25">
      <c r="A139" s="14" t="s">
        <v>523</v>
      </c>
      <c r="B139" s="93" t="s">
        <v>169</v>
      </c>
      <c r="C139" s="93" t="s">
        <v>170</v>
      </c>
      <c r="D139" s="93">
        <v>3600</v>
      </c>
      <c r="E139" s="93">
        <v>33990</v>
      </c>
      <c r="F139" s="93">
        <v>42000</v>
      </c>
      <c r="G139" s="93">
        <v>0.8</v>
      </c>
      <c r="H139" s="93">
        <v>228.59</v>
      </c>
      <c r="I139" s="93">
        <v>56500</v>
      </c>
      <c r="J139" s="72">
        <v>60</v>
      </c>
      <c r="K139" s="78">
        <v>228.589</v>
      </c>
      <c r="L139" s="78">
        <v>-1.5795799999999999E-3</v>
      </c>
      <c r="M139" s="78">
        <v>1.2536699999999999E-7</v>
      </c>
      <c r="N139" s="78">
        <v>-8.6778599999999999E-12</v>
      </c>
      <c r="O139" s="78">
        <v>1.9566199999999999E-16</v>
      </c>
      <c r="P139" s="78">
        <v>-1.6810100000000001E-21</v>
      </c>
      <c r="Q139" s="78">
        <v>27.9695</v>
      </c>
      <c r="R139" s="78">
        <v>1.05752E-4</v>
      </c>
      <c r="S139" s="78">
        <v>5.7314400000000001E-8</v>
      </c>
      <c r="T139" s="78">
        <v>-1.7262200000000001E-12</v>
      </c>
      <c r="U139" s="78">
        <v>1.9190700000000001E-17</v>
      </c>
      <c r="V139" s="78">
        <v>-9.8033399999999998E-23</v>
      </c>
      <c r="W139" s="80">
        <v>10</v>
      </c>
      <c r="X139" s="100">
        <v>6000</v>
      </c>
      <c r="Y139" s="100">
        <v>6000</v>
      </c>
      <c r="Z139" s="82">
        <v>1.5</v>
      </c>
      <c r="AA139" s="100">
        <v>1600</v>
      </c>
      <c r="AB139" s="100">
        <v>2000</v>
      </c>
      <c r="AC139" s="101"/>
      <c r="AD139" s="101"/>
      <c r="AE139" s="101"/>
      <c r="AF139" s="98">
        <v>65000</v>
      </c>
      <c r="AG139" s="99"/>
      <c r="AH139" s="99"/>
      <c r="AI139" s="99"/>
      <c r="AJ139" s="99"/>
    </row>
    <row r="140" spans="1:36" s="44" customFormat="1" x14ac:dyDescent="0.25">
      <c r="A140" s="14" t="s">
        <v>523</v>
      </c>
      <c r="B140" s="93" t="s">
        <v>169</v>
      </c>
      <c r="C140" s="93" t="s">
        <v>171</v>
      </c>
      <c r="D140" s="93">
        <v>4500</v>
      </c>
      <c r="E140" s="93">
        <v>38900</v>
      </c>
      <c r="F140" s="93">
        <v>50000</v>
      </c>
      <c r="G140" s="93">
        <v>0.8</v>
      </c>
      <c r="H140" s="93">
        <v>216.16</v>
      </c>
      <c r="I140" s="93">
        <v>70000</v>
      </c>
      <c r="J140" s="72">
        <v>60</v>
      </c>
      <c r="K140" s="78">
        <v>213.16380000000001</v>
      </c>
      <c r="L140" s="78">
        <v>-3.5018099999999997E-4</v>
      </c>
      <c r="M140" s="78">
        <v>4.5875699999999997E-8</v>
      </c>
      <c r="N140" s="78">
        <v>-3.11856E-12</v>
      </c>
      <c r="O140" s="78">
        <v>4.7410099999999997E-17</v>
      </c>
      <c r="P140" s="78">
        <v>-2.86451E-22</v>
      </c>
      <c r="Q140" s="78">
        <v>31.320920000000001</v>
      </c>
      <c r="R140" s="78">
        <v>3.6857699999999998E-4</v>
      </c>
      <c r="S140" s="78">
        <v>2.5883199999999998E-8</v>
      </c>
      <c r="T140" s="78">
        <v>-3.1281399999999999E-13</v>
      </c>
      <c r="U140" s="78">
        <v>-5.1849099999999998E-18</v>
      </c>
      <c r="V140" s="78">
        <v>6.2599400000000002E-23</v>
      </c>
      <c r="W140" s="80">
        <v>10</v>
      </c>
      <c r="X140" s="100">
        <v>6000</v>
      </c>
      <c r="Y140" s="100">
        <v>6000</v>
      </c>
      <c r="Z140" s="82">
        <v>1.5</v>
      </c>
      <c r="AA140" s="100">
        <v>1600</v>
      </c>
      <c r="AB140" s="100">
        <v>2000</v>
      </c>
      <c r="AC140" s="101"/>
      <c r="AD140" s="101"/>
      <c r="AE140" s="101"/>
      <c r="AF140" s="98">
        <v>65000</v>
      </c>
      <c r="AG140" s="99"/>
      <c r="AH140" s="99"/>
      <c r="AI140" s="99"/>
      <c r="AJ140" s="99"/>
    </row>
    <row r="141" spans="1:36" s="44" customFormat="1" x14ac:dyDescent="0.25">
      <c r="A141" s="14" t="s">
        <v>523</v>
      </c>
      <c r="B141" s="93" t="s">
        <v>172</v>
      </c>
      <c r="C141" s="93" t="s">
        <v>173</v>
      </c>
      <c r="D141" s="93">
        <v>4125</v>
      </c>
      <c r="E141" s="93">
        <v>57465</v>
      </c>
      <c r="F141" s="93">
        <v>80000</v>
      </c>
      <c r="G141" s="93">
        <v>0.8306</v>
      </c>
      <c r="H141" s="93">
        <v>284.44</v>
      </c>
      <c r="I141" s="93">
        <v>85000</v>
      </c>
      <c r="J141" s="72">
        <v>60</v>
      </c>
      <c r="K141" s="78">
        <v>284.62962929999998</v>
      </c>
      <c r="L141" s="78">
        <v>-4.0999999999999999E-4</v>
      </c>
      <c r="M141" s="78">
        <v>4.2700000000000004E-9</v>
      </c>
      <c r="N141" s="78">
        <v>1.77E-13</v>
      </c>
      <c r="O141" s="78">
        <v>-1.1E-17</v>
      </c>
      <c r="P141" s="78">
        <v>7.3E-23</v>
      </c>
      <c r="Q141" s="78">
        <v>76.66122</v>
      </c>
      <c r="R141" s="78">
        <v>-8.8000000000000003E-4</v>
      </c>
      <c r="S141" s="78">
        <v>3.6300000000000001E-8</v>
      </c>
      <c r="T141" s="78">
        <v>5.6300000000000002E-13</v>
      </c>
      <c r="U141" s="78">
        <v>-1.8E-17</v>
      </c>
      <c r="V141" s="78">
        <v>1.05E-22</v>
      </c>
      <c r="W141" s="80">
        <v>11</v>
      </c>
      <c r="X141" s="100">
        <v>6000</v>
      </c>
      <c r="Y141" s="100">
        <v>6000</v>
      </c>
      <c r="Z141" s="82">
        <v>1.5</v>
      </c>
      <c r="AA141" s="100">
        <v>1600</v>
      </c>
      <c r="AB141" s="100">
        <v>2000</v>
      </c>
      <c r="AC141" s="101"/>
      <c r="AD141" s="101"/>
      <c r="AE141" s="101"/>
      <c r="AF141" s="98">
        <v>65000</v>
      </c>
      <c r="AG141" s="99"/>
      <c r="AH141" s="99"/>
      <c r="AI141" s="99"/>
      <c r="AJ141" s="99"/>
    </row>
    <row r="142" spans="1:36" s="44" customFormat="1" x14ac:dyDescent="0.25">
      <c r="A142" s="14" t="s">
        <v>523</v>
      </c>
      <c r="B142" s="93" t="s">
        <v>119</v>
      </c>
      <c r="C142" s="93" t="s">
        <v>249</v>
      </c>
      <c r="D142" s="93">
        <v>500</v>
      </c>
      <c r="E142" s="93">
        <v>1400</v>
      </c>
      <c r="F142" s="93">
        <v>2000</v>
      </c>
      <c r="G142" s="93">
        <v>0.66</v>
      </c>
      <c r="H142" s="93">
        <v>31</v>
      </c>
      <c r="I142" s="93">
        <v>2400</v>
      </c>
      <c r="J142" s="72">
        <v>60</v>
      </c>
      <c r="K142" s="78">
        <v>31.1754</v>
      </c>
      <c r="L142" s="78">
        <v>-8.7709899999999993E-3</v>
      </c>
      <c r="M142" s="78">
        <v>1.03095E-5</v>
      </c>
      <c r="N142" s="78">
        <v>-7.4206099999999997E-9</v>
      </c>
      <c r="O142" s="78">
        <v>1.1827799999999999E-12</v>
      </c>
      <c r="P142" s="78">
        <v>-5.4721800000000001E-17</v>
      </c>
      <c r="Q142" s="78">
        <v>0.256575</v>
      </c>
      <c r="R142" s="78">
        <v>-1.3595400000000001E-4</v>
      </c>
      <c r="S142" s="78">
        <v>3.9431100000000002E-7</v>
      </c>
      <c r="T142" s="78">
        <v>-2.3935299999999998E-10</v>
      </c>
      <c r="U142" s="78">
        <v>5.0172100000000003E-14</v>
      </c>
      <c r="V142" s="78">
        <v>-2.91381E-18</v>
      </c>
      <c r="W142" s="80">
        <v>4</v>
      </c>
      <c r="X142" s="100">
        <v>6000</v>
      </c>
      <c r="Y142" s="100">
        <v>6000</v>
      </c>
      <c r="Z142" s="82">
        <v>0.68799999999999994</v>
      </c>
      <c r="AA142" s="100">
        <v>125</v>
      </c>
      <c r="AB142" s="100">
        <v>250</v>
      </c>
      <c r="AC142" s="101">
        <v>7</v>
      </c>
      <c r="AD142" s="101">
        <v>88</v>
      </c>
      <c r="AE142" s="101">
        <v>11.571428571428566</v>
      </c>
      <c r="AF142" s="98">
        <v>18000</v>
      </c>
      <c r="AG142" s="99"/>
      <c r="AH142" s="99"/>
      <c r="AI142" s="99"/>
      <c r="AJ142" s="99"/>
    </row>
    <row r="143" spans="1:36" s="44" customFormat="1" x14ac:dyDescent="0.25">
      <c r="A143" s="14" t="s">
        <v>523</v>
      </c>
      <c r="B143" s="93" t="s">
        <v>140</v>
      </c>
      <c r="C143" s="93" t="s">
        <v>250</v>
      </c>
      <c r="D143" s="93">
        <v>650</v>
      </c>
      <c r="E143" s="93">
        <v>1600</v>
      </c>
      <c r="F143" s="93">
        <v>2200</v>
      </c>
      <c r="G143" s="93">
        <v>0.62</v>
      </c>
      <c r="H143" s="93">
        <v>60</v>
      </c>
      <c r="I143" s="93">
        <v>2700</v>
      </c>
      <c r="J143" s="72">
        <v>60</v>
      </c>
      <c r="K143" s="78">
        <v>59.9833</v>
      </c>
      <c r="L143" s="78">
        <v>5.5227599999999998E-4</v>
      </c>
      <c r="M143" s="78">
        <v>-8.5765399999999994E-6</v>
      </c>
      <c r="N143" s="78">
        <v>1.2460499999999999E-8</v>
      </c>
      <c r="O143" s="78">
        <v>-8.4337400000000008E-12</v>
      </c>
      <c r="P143" s="78">
        <v>1.43229E-15</v>
      </c>
      <c r="Q143" s="78">
        <v>0.51566800000000002</v>
      </c>
      <c r="R143" s="78">
        <v>5.2115199999999999E-4</v>
      </c>
      <c r="S143" s="78">
        <v>-6.3535500000000001E-7</v>
      </c>
      <c r="T143" s="78">
        <v>6.8745299999999996E-10</v>
      </c>
      <c r="U143" s="78">
        <v>-3.2450699999999998E-13</v>
      </c>
      <c r="V143" s="78">
        <v>5.13972E-17</v>
      </c>
      <c r="W143" s="80">
        <v>5.38</v>
      </c>
      <c r="X143" s="100">
        <v>6000</v>
      </c>
      <c r="Y143" s="100">
        <v>6000</v>
      </c>
      <c r="Z143" s="82">
        <v>0.875</v>
      </c>
      <c r="AA143" s="100">
        <v>250</v>
      </c>
      <c r="AB143" s="100">
        <v>500</v>
      </c>
      <c r="AC143" s="101">
        <v>3</v>
      </c>
      <c r="AD143" s="101">
        <v>82</v>
      </c>
      <c r="AE143" s="101">
        <v>5.6428571428571459</v>
      </c>
      <c r="AF143" s="98">
        <v>18000</v>
      </c>
      <c r="AG143" s="99"/>
      <c r="AH143" s="99"/>
      <c r="AI143" s="99"/>
      <c r="AJ143" s="99"/>
    </row>
    <row r="144" spans="1:36" s="44" customFormat="1" x14ac:dyDescent="0.25">
      <c r="A144" s="14" t="s">
        <v>523</v>
      </c>
      <c r="B144" s="93" t="s">
        <v>140</v>
      </c>
      <c r="C144" s="93" t="s">
        <v>251</v>
      </c>
      <c r="D144" s="93">
        <v>2000</v>
      </c>
      <c r="E144" s="93">
        <v>5000</v>
      </c>
      <c r="F144" s="93">
        <v>7000</v>
      </c>
      <c r="G144" s="93">
        <v>0.72</v>
      </c>
      <c r="H144" s="93">
        <v>70</v>
      </c>
      <c r="I144" s="93">
        <v>8100</v>
      </c>
      <c r="J144" s="72">
        <v>60</v>
      </c>
      <c r="K144" s="78">
        <v>68.7826542659555</v>
      </c>
      <c r="L144" s="78">
        <v>4.9853249726781847E-3</v>
      </c>
      <c r="M144" s="78">
        <v>-4.6337372740268006E-6</v>
      </c>
      <c r="N144" s="78">
        <v>1.1287525354881568E-9</v>
      </c>
      <c r="O144" s="78">
        <v>-1.3637312616127208E-13</v>
      </c>
      <c r="P144" s="78">
        <v>5.2516427357798171E-18</v>
      </c>
      <c r="Q144" s="78">
        <v>1.6920162912798755</v>
      </c>
      <c r="R144" s="78">
        <v>1.5433433984651844E-4</v>
      </c>
      <c r="S144" s="78">
        <v>-5.2421231233042308E-9</v>
      </c>
      <c r="T144" s="78">
        <v>1.3787082143359753E-11</v>
      </c>
      <c r="U144" s="78">
        <v>-3.3491234361778881E-15</v>
      </c>
      <c r="V144" s="78">
        <v>1.9715383879814939E-19</v>
      </c>
      <c r="W144" s="80">
        <v>5.38</v>
      </c>
      <c r="X144" s="100">
        <v>6000</v>
      </c>
      <c r="Y144" s="100">
        <v>6000</v>
      </c>
      <c r="Z144" s="82">
        <v>0.875</v>
      </c>
      <c r="AA144" s="100">
        <v>250</v>
      </c>
      <c r="AB144" s="100">
        <v>500</v>
      </c>
      <c r="AC144" s="101">
        <v>7</v>
      </c>
      <c r="AD144" s="101">
        <v>132</v>
      </c>
      <c r="AE144" s="101">
        <v>8.9285714285714377</v>
      </c>
      <c r="AF144" s="98">
        <v>5700</v>
      </c>
      <c r="AG144" s="99"/>
      <c r="AH144" s="99"/>
      <c r="AI144" s="99"/>
      <c r="AJ144" s="99"/>
    </row>
    <row r="145" spans="1:36" s="44" customFormat="1" x14ac:dyDescent="0.25">
      <c r="A145" s="14" t="s">
        <v>523</v>
      </c>
      <c r="B145" s="93" t="s">
        <v>83</v>
      </c>
      <c r="C145" s="93" t="s">
        <v>252</v>
      </c>
      <c r="D145" s="93">
        <v>600</v>
      </c>
      <c r="E145" s="93">
        <v>2501</v>
      </c>
      <c r="F145" s="93">
        <v>3200</v>
      </c>
      <c r="G145" s="93">
        <v>0.55200000000000005</v>
      </c>
      <c r="H145" s="93">
        <v>19.8</v>
      </c>
      <c r="I145" s="93">
        <v>3900</v>
      </c>
      <c r="J145" s="72">
        <v>60</v>
      </c>
      <c r="K145" s="78">
        <v>19.827909999999999</v>
      </c>
      <c r="L145" s="78">
        <v>-9.0799999999999995E-3</v>
      </c>
      <c r="M145" s="78">
        <v>4.0970199999999996E-6</v>
      </c>
      <c r="N145" s="78">
        <v>-6.1690940000000001E-10</v>
      </c>
      <c r="O145" s="78">
        <v>-7.1478629999999996E-14</v>
      </c>
      <c r="P145" s="78">
        <v>8.1921050000000004E-18</v>
      </c>
      <c r="Q145" s="78">
        <v>0.31563099999999999</v>
      </c>
      <c r="R145" s="78">
        <v>-1.3721299999999999E-4</v>
      </c>
      <c r="S145" s="78">
        <v>1.36E-7</v>
      </c>
      <c r="T145" s="78">
        <v>-3.8511699999999997E-11</v>
      </c>
      <c r="U145" s="78">
        <v>4.89114E-15</v>
      </c>
      <c r="V145" s="78">
        <v>-4.1026700000000002E-19</v>
      </c>
      <c r="W145" s="80">
        <v>3.38</v>
      </c>
      <c r="X145" s="100">
        <v>5000</v>
      </c>
      <c r="Y145" s="100">
        <v>5000</v>
      </c>
      <c r="Z145" s="82">
        <v>0.6875</v>
      </c>
      <c r="AA145" s="100">
        <v>125</v>
      </c>
      <c r="AB145" s="100">
        <v>200</v>
      </c>
      <c r="AC145" s="101">
        <v>10</v>
      </c>
      <c r="AD145" s="101">
        <v>140</v>
      </c>
      <c r="AE145" s="101">
        <v>10</v>
      </c>
      <c r="AF145" s="98">
        <v>5700</v>
      </c>
      <c r="AG145" s="99"/>
      <c r="AH145" s="99"/>
      <c r="AI145" s="99"/>
      <c r="AJ145" s="99"/>
    </row>
    <row r="146" spans="1:36" s="99" customFormat="1" x14ac:dyDescent="0.25">
      <c r="A146" s="14" t="s">
        <v>523</v>
      </c>
      <c r="B146" s="93" t="s">
        <v>140</v>
      </c>
      <c r="C146" s="93" t="s">
        <v>174</v>
      </c>
      <c r="D146" s="93">
        <v>1500</v>
      </c>
      <c r="E146" s="93">
        <v>5000</v>
      </c>
      <c r="F146" s="93">
        <v>6000</v>
      </c>
      <c r="G146" s="93">
        <v>0.71</v>
      </c>
      <c r="H146" s="93">
        <v>63.53</v>
      </c>
      <c r="I146" s="93">
        <v>8000</v>
      </c>
      <c r="J146" s="72">
        <v>60</v>
      </c>
      <c r="K146" s="78">
        <v>63.533999999999999</v>
      </c>
      <c r="L146" s="78">
        <v>6.0545599999999996E-3</v>
      </c>
      <c r="M146" s="78">
        <v>-3.99327E-6</v>
      </c>
      <c r="N146" s="78">
        <v>8.0832299999999998E-10</v>
      </c>
      <c r="O146" s="78">
        <v>-8.8312600000000003E-14</v>
      </c>
      <c r="P146" s="78">
        <v>2.7643499999999999E-18</v>
      </c>
      <c r="Q146" s="78">
        <v>1.41984</v>
      </c>
      <c r="R146" s="78">
        <v>3.5605000000000001E-4</v>
      </c>
      <c r="S146" s="78">
        <v>-5.5639400000000001E-8</v>
      </c>
      <c r="T146" s="78">
        <v>1.61807E-11</v>
      </c>
      <c r="U146" s="78">
        <v>-2.9414099999999998E-15</v>
      </c>
      <c r="V146" s="78">
        <v>1.61908E-19</v>
      </c>
      <c r="W146" s="80">
        <v>5.38</v>
      </c>
      <c r="X146" s="100">
        <v>6000</v>
      </c>
      <c r="Y146" s="100">
        <v>6000</v>
      </c>
      <c r="Z146" s="82">
        <v>0.875</v>
      </c>
      <c r="AA146" s="100">
        <v>400</v>
      </c>
      <c r="AB146" s="100">
        <v>500</v>
      </c>
      <c r="AC146" s="101"/>
      <c r="AD146" s="101"/>
      <c r="AE146" s="101"/>
      <c r="AF146" s="98">
        <v>18000</v>
      </c>
    </row>
    <row r="147" spans="1:36" s="44" customFormat="1" x14ac:dyDescent="0.25">
      <c r="A147" s="14" t="s">
        <v>523</v>
      </c>
      <c r="B147" s="93" t="s">
        <v>83</v>
      </c>
      <c r="C147" s="93" t="s">
        <v>175</v>
      </c>
      <c r="D147" s="93">
        <v>300</v>
      </c>
      <c r="E147" s="93">
        <v>2501</v>
      </c>
      <c r="F147" s="93">
        <v>3200</v>
      </c>
      <c r="G147" s="93">
        <v>0.55200000000000005</v>
      </c>
      <c r="H147" s="93">
        <v>19.8</v>
      </c>
      <c r="I147" s="93">
        <v>3900</v>
      </c>
      <c r="J147" s="72">
        <v>60</v>
      </c>
      <c r="K147" s="78">
        <v>19.827909999999999</v>
      </c>
      <c r="L147" s="78">
        <v>-9.0799999999999995E-3</v>
      </c>
      <c r="M147" s="78">
        <v>4.0970199999999996E-6</v>
      </c>
      <c r="N147" s="78">
        <v>-6.1690940000000001E-10</v>
      </c>
      <c r="O147" s="78">
        <v>-7.1478629999999996E-14</v>
      </c>
      <c r="P147" s="78">
        <v>8.1921050000000004E-18</v>
      </c>
      <c r="Q147" s="78">
        <v>0.31563099999999999</v>
      </c>
      <c r="R147" s="78">
        <v>-1.3721299999999999E-4</v>
      </c>
      <c r="S147" s="78">
        <v>1.36E-7</v>
      </c>
      <c r="T147" s="78">
        <v>-3.8511699999999997E-11</v>
      </c>
      <c r="U147" s="78">
        <v>4.89114E-15</v>
      </c>
      <c r="V147" s="78">
        <v>-4.1026700000000002E-19</v>
      </c>
      <c r="W147" s="80">
        <v>3.38</v>
      </c>
      <c r="X147" s="100">
        <v>5000</v>
      </c>
      <c r="Y147" s="100">
        <v>5000</v>
      </c>
      <c r="Z147" s="82">
        <v>0.6875</v>
      </c>
      <c r="AA147" s="100">
        <v>125</v>
      </c>
      <c r="AB147" s="100">
        <v>200</v>
      </c>
      <c r="AC147" s="101">
        <v>10</v>
      </c>
      <c r="AD147" s="101">
        <v>140</v>
      </c>
      <c r="AE147" s="101">
        <v>10</v>
      </c>
      <c r="AF147" s="98">
        <v>5700</v>
      </c>
      <c r="AG147" s="99"/>
      <c r="AH147" s="99"/>
      <c r="AI147" s="99"/>
      <c r="AJ147" s="99"/>
    </row>
    <row r="148" spans="1:36" s="44" customFormat="1" x14ac:dyDescent="0.25">
      <c r="A148" s="14" t="s">
        <v>523</v>
      </c>
      <c r="B148" s="93" t="s">
        <v>83</v>
      </c>
      <c r="C148" s="93" t="s">
        <v>176</v>
      </c>
      <c r="D148" s="93">
        <v>400</v>
      </c>
      <c r="E148" s="93">
        <v>2501</v>
      </c>
      <c r="F148" s="93">
        <v>3200</v>
      </c>
      <c r="G148" s="93">
        <v>0.55200000000000005</v>
      </c>
      <c r="H148" s="93">
        <v>19.8</v>
      </c>
      <c r="I148" s="93">
        <v>3900</v>
      </c>
      <c r="J148" s="72">
        <v>60</v>
      </c>
      <c r="K148" s="78">
        <v>19.827909999999999</v>
      </c>
      <c r="L148" s="78">
        <v>-9.0799999999999995E-3</v>
      </c>
      <c r="M148" s="78">
        <v>4.0970199999999996E-6</v>
      </c>
      <c r="N148" s="78">
        <v>-6.1690940000000001E-10</v>
      </c>
      <c r="O148" s="78">
        <v>-7.1478629999999996E-14</v>
      </c>
      <c r="P148" s="78">
        <v>8.1921050000000004E-18</v>
      </c>
      <c r="Q148" s="78">
        <v>0.31563099999999999</v>
      </c>
      <c r="R148" s="78">
        <v>-1.3721299999999999E-4</v>
      </c>
      <c r="S148" s="78">
        <v>1.36E-7</v>
      </c>
      <c r="T148" s="78">
        <v>-3.8511699999999997E-11</v>
      </c>
      <c r="U148" s="78">
        <v>4.89114E-15</v>
      </c>
      <c r="V148" s="78">
        <v>-4.1026700000000002E-19</v>
      </c>
      <c r="W148" s="80">
        <v>3.38</v>
      </c>
      <c r="X148" s="100">
        <v>5000</v>
      </c>
      <c r="Y148" s="100">
        <v>5000</v>
      </c>
      <c r="Z148" s="82">
        <v>0.6875</v>
      </c>
      <c r="AA148" s="100">
        <v>125</v>
      </c>
      <c r="AB148" s="100">
        <v>200</v>
      </c>
      <c r="AC148" s="101">
        <v>10</v>
      </c>
      <c r="AD148" s="101">
        <v>140</v>
      </c>
      <c r="AE148" s="101">
        <v>10</v>
      </c>
      <c r="AF148" s="98">
        <v>5700</v>
      </c>
      <c r="AG148" s="99"/>
      <c r="AH148" s="99"/>
      <c r="AI148" s="99"/>
      <c r="AJ148" s="99"/>
    </row>
    <row r="149" spans="1:36" s="44" customFormat="1" x14ac:dyDescent="0.25">
      <c r="A149" s="14" t="s">
        <v>523</v>
      </c>
      <c r="B149" s="93" t="s">
        <v>83</v>
      </c>
      <c r="C149" s="93" t="s">
        <v>177</v>
      </c>
      <c r="D149" s="93">
        <v>250</v>
      </c>
      <c r="E149" s="93">
        <v>660</v>
      </c>
      <c r="F149" s="93">
        <v>800</v>
      </c>
      <c r="G149" s="93">
        <v>0.55000000000000004</v>
      </c>
      <c r="H149" s="93">
        <v>26.36</v>
      </c>
      <c r="I149" s="93">
        <v>1060</v>
      </c>
      <c r="J149" s="72">
        <v>60</v>
      </c>
      <c r="K149" s="78">
        <v>26.362580000000001</v>
      </c>
      <c r="L149" s="78">
        <v>-1.8983660000000001E-3</v>
      </c>
      <c r="M149" s="78">
        <v>-6.1482799999999993E-5</v>
      </c>
      <c r="N149" s="78">
        <v>1.580255E-7</v>
      </c>
      <c r="O149" s="78">
        <v>-1.7221379999999999E-10</v>
      </c>
      <c r="P149" s="78">
        <v>4.503311E-14</v>
      </c>
      <c r="Q149" s="78">
        <v>0.1031687</v>
      </c>
      <c r="R149" s="78">
        <v>-8.0523760000000004E-6</v>
      </c>
      <c r="S149" s="78">
        <v>5.2853220000000002E-7</v>
      </c>
      <c r="T149" s="78">
        <v>-1.153182E-9</v>
      </c>
      <c r="U149" s="78">
        <v>1.1725440000000001E-12</v>
      </c>
      <c r="V149" s="78">
        <v>-6.9096700000000001E-16</v>
      </c>
      <c r="W149" s="80">
        <v>3.38</v>
      </c>
      <c r="X149" s="100">
        <v>5000</v>
      </c>
      <c r="Y149" s="100">
        <v>5000</v>
      </c>
      <c r="Z149" s="82">
        <v>0.6875</v>
      </c>
      <c r="AA149" s="100">
        <v>125</v>
      </c>
      <c r="AB149" s="100">
        <v>200</v>
      </c>
      <c r="AC149" s="101">
        <v>10</v>
      </c>
      <c r="AD149" s="101">
        <v>140</v>
      </c>
      <c r="AE149" s="101">
        <v>10</v>
      </c>
      <c r="AF149" s="98">
        <v>5700</v>
      </c>
      <c r="AG149" s="99"/>
      <c r="AH149" s="99"/>
      <c r="AI149" s="99"/>
      <c r="AJ149" s="99"/>
    </row>
    <row r="150" spans="1:36" s="44" customFormat="1" x14ac:dyDescent="0.25">
      <c r="A150" s="14" t="s">
        <v>522</v>
      </c>
      <c r="B150" s="93">
        <v>538</v>
      </c>
      <c r="C150" s="93" t="s">
        <v>427</v>
      </c>
      <c r="D150" s="93">
        <v>1500</v>
      </c>
      <c r="E150" s="93">
        <v>5000</v>
      </c>
      <c r="F150" s="93">
        <v>6000</v>
      </c>
      <c r="G150" s="93">
        <v>0.71220000000000006</v>
      </c>
      <c r="H150" s="93">
        <v>68.540000000000006</v>
      </c>
      <c r="I150" s="93">
        <v>7500</v>
      </c>
      <c r="J150" s="72">
        <v>60</v>
      </c>
      <c r="K150" s="78">
        <v>68.536135900000005</v>
      </c>
      <c r="L150" s="78">
        <v>5.5515858399999996E-3</v>
      </c>
      <c r="M150" s="78">
        <v>-5.1189929100000004E-6</v>
      </c>
      <c r="N150" s="78">
        <v>1.1629006700000001E-9</v>
      </c>
      <c r="O150" s="78">
        <v>-9.5519937499999995E-14</v>
      </c>
      <c r="P150" s="78">
        <v>-3.9909842199999997E-18</v>
      </c>
      <c r="Q150" s="78">
        <v>1.7234151</v>
      </c>
      <c r="R150" s="78">
        <v>9.0518525000000006E-5</v>
      </c>
      <c r="S150" s="78">
        <v>2.6737933700000001E-8</v>
      </c>
      <c r="T150" s="78">
        <v>1.03478504E-11</v>
      </c>
      <c r="U150" s="78">
        <v>-4.1549054000000003E-15</v>
      </c>
      <c r="V150" s="78">
        <v>3.8896439499999999E-19</v>
      </c>
      <c r="W150" s="80">
        <v>5.38</v>
      </c>
      <c r="X150" s="100">
        <v>5627</v>
      </c>
      <c r="Y150" s="100">
        <v>8200</v>
      </c>
      <c r="Z150" s="82">
        <v>0.85</v>
      </c>
      <c r="AA150" s="100">
        <v>140</v>
      </c>
      <c r="AB150" s="100">
        <v>220</v>
      </c>
      <c r="AC150" s="101">
        <v>10</v>
      </c>
      <c r="AD150" s="101">
        <v>150</v>
      </c>
      <c r="AE150" s="101">
        <v>10</v>
      </c>
      <c r="AF150" s="98">
        <v>3500</v>
      </c>
    </row>
    <row r="151" spans="1:36" s="44" customFormat="1" x14ac:dyDescent="0.25">
      <c r="A151" s="14" t="s">
        <v>522</v>
      </c>
      <c r="B151" s="93">
        <v>538</v>
      </c>
      <c r="C151" s="93" t="s">
        <v>429</v>
      </c>
      <c r="D151" s="93">
        <v>750</v>
      </c>
      <c r="E151" s="93">
        <v>2700</v>
      </c>
      <c r="F151" s="93">
        <v>3300</v>
      </c>
      <c r="G151" s="93">
        <v>68</v>
      </c>
      <c r="H151" s="93">
        <v>72.03</v>
      </c>
      <c r="I151" s="93">
        <v>4000</v>
      </c>
      <c r="J151" s="72">
        <v>60</v>
      </c>
      <c r="K151" s="78">
        <v>72</v>
      </c>
      <c r="L151" s="78">
        <v>-9.41E-3</v>
      </c>
      <c r="M151" s="78">
        <v>8.9600000000000006E-6</v>
      </c>
      <c r="N151" s="78">
        <v>-4.9799999999999998E-9</v>
      </c>
      <c r="O151" s="78">
        <v>9.6300000000000004E-13</v>
      </c>
      <c r="P151" s="78">
        <v>-7.1299999999999995E-17</v>
      </c>
      <c r="Q151" s="78">
        <v>2.04</v>
      </c>
      <c r="R151" s="78">
        <v>-2.7699999999999999E-3</v>
      </c>
      <c r="S151" s="78">
        <v>3.1499999999999999E-6</v>
      </c>
      <c r="T151" s="78">
        <v>-1.5199999999999999E-9</v>
      </c>
      <c r="U151" s="78">
        <v>3.4200000000000001E-13</v>
      </c>
      <c r="V151" s="78">
        <v>-2.9700000000000001E-17</v>
      </c>
      <c r="W151" s="80">
        <v>5.38</v>
      </c>
      <c r="X151" s="100">
        <v>5627</v>
      </c>
      <c r="Y151" s="100" t="s">
        <v>428</v>
      </c>
      <c r="Z151" s="82">
        <v>0.875</v>
      </c>
      <c r="AA151" s="100" t="s">
        <v>428</v>
      </c>
      <c r="AB151" s="100" t="s">
        <v>428</v>
      </c>
      <c r="AC151" s="101" t="s">
        <v>428</v>
      </c>
      <c r="AD151" s="101" t="s">
        <v>428</v>
      </c>
      <c r="AE151" s="101" t="s">
        <v>428</v>
      </c>
      <c r="AF151" s="98" t="s">
        <v>428</v>
      </c>
    </row>
    <row r="152" spans="1:36" s="44" customFormat="1" x14ac:dyDescent="0.25">
      <c r="A152" s="14" t="s">
        <v>522</v>
      </c>
      <c r="B152" s="93">
        <v>400</v>
      </c>
      <c r="C152" s="93" t="s">
        <v>612</v>
      </c>
      <c r="D152" s="93">
        <v>50</v>
      </c>
      <c r="E152" s="93">
        <v>1900</v>
      </c>
      <c r="F152" s="93">
        <v>2900</v>
      </c>
      <c r="G152" s="93" t="s">
        <v>430</v>
      </c>
      <c r="H152" s="93" t="s">
        <v>431</v>
      </c>
      <c r="I152" s="93">
        <v>2900</v>
      </c>
      <c r="J152" s="72">
        <v>60</v>
      </c>
      <c r="K152" s="78" t="s">
        <v>432</v>
      </c>
      <c r="L152" s="78" t="s">
        <v>433</v>
      </c>
      <c r="M152" s="78" t="s">
        <v>434</v>
      </c>
      <c r="N152" s="78" t="s">
        <v>435</v>
      </c>
      <c r="O152" s="78" t="s">
        <v>436</v>
      </c>
      <c r="P152" s="78" t="s">
        <v>437</v>
      </c>
      <c r="Q152" s="78" t="s">
        <v>438</v>
      </c>
      <c r="R152" s="78" t="s">
        <v>439</v>
      </c>
      <c r="S152" s="78" t="s">
        <v>440</v>
      </c>
      <c r="T152" s="78" t="s">
        <v>441</v>
      </c>
      <c r="U152" s="78" t="s">
        <v>442</v>
      </c>
      <c r="V152" s="78" t="s">
        <v>443</v>
      </c>
      <c r="W152" s="80">
        <v>4</v>
      </c>
      <c r="X152" s="100">
        <v>5627</v>
      </c>
      <c r="Y152" s="100" t="s">
        <v>428</v>
      </c>
      <c r="Z152" s="82" t="s">
        <v>428</v>
      </c>
      <c r="AA152" s="100" t="s">
        <v>428</v>
      </c>
      <c r="AB152" s="100" t="s">
        <v>428</v>
      </c>
      <c r="AC152" s="101" t="s">
        <v>428</v>
      </c>
      <c r="AD152" s="101" t="s">
        <v>428</v>
      </c>
      <c r="AE152" s="101" t="s">
        <v>428</v>
      </c>
      <c r="AF152" s="98" t="s">
        <v>428</v>
      </c>
    </row>
    <row r="153" spans="1:36" s="44" customFormat="1" x14ac:dyDescent="0.25">
      <c r="A153" s="68" t="s">
        <v>476</v>
      </c>
      <c r="B153" s="93">
        <v>538</v>
      </c>
      <c r="C153" s="93" t="s">
        <v>444</v>
      </c>
      <c r="D153" s="93">
        <v>1000</v>
      </c>
      <c r="E153" s="93">
        <v>4200</v>
      </c>
      <c r="F153" s="93">
        <v>6000</v>
      </c>
      <c r="G153" s="93" t="s">
        <v>445</v>
      </c>
      <c r="H153" s="93" t="s">
        <v>446</v>
      </c>
      <c r="I153" s="93">
        <v>7500</v>
      </c>
      <c r="J153" s="72">
        <v>60</v>
      </c>
      <c r="K153" s="78" t="s">
        <v>447</v>
      </c>
      <c r="L153" s="78" t="s">
        <v>448</v>
      </c>
      <c r="M153" s="78" t="s">
        <v>449</v>
      </c>
      <c r="N153" s="78" t="s">
        <v>450</v>
      </c>
      <c r="O153" s="78" t="s">
        <v>451</v>
      </c>
      <c r="P153" s="78" t="s">
        <v>452</v>
      </c>
      <c r="Q153" s="78" t="s">
        <v>453</v>
      </c>
      <c r="R153" s="78" t="s">
        <v>454</v>
      </c>
      <c r="S153" s="78" t="s">
        <v>455</v>
      </c>
      <c r="T153" s="78" t="s">
        <v>456</v>
      </c>
      <c r="U153" s="78" t="s">
        <v>457</v>
      </c>
      <c r="V153" s="78" t="s">
        <v>458</v>
      </c>
      <c r="W153" s="80" t="s">
        <v>459</v>
      </c>
      <c r="X153" s="100" t="s">
        <v>428</v>
      </c>
      <c r="Y153" s="100" t="s">
        <v>428</v>
      </c>
      <c r="Z153" s="82" t="s">
        <v>428</v>
      </c>
      <c r="AA153" s="100" t="s">
        <v>428</v>
      </c>
      <c r="AB153" s="100" t="s">
        <v>428</v>
      </c>
      <c r="AC153" s="101" t="s">
        <v>428</v>
      </c>
      <c r="AD153" s="101" t="s">
        <v>428</v>
      </c>
      <c r="AE153" s="101" t="s">
        <v>428</v>
      </c>
      <c r="AF153" s="98" t="s">
        <v>428</v>
      </c>
    </row>
    <row r="154" spans="1:36" s="44" customFormat="1" x14ac:dyDescent="0.25">
      <c r="A154" s="14" t="s">
        <v>522</v>
      </c>
      <c r="B154" s="93">
        <v>538</v>
      </c>
      <c r="C154" s="93" t="s">
        <v>460</v>
      </c>
      <c r="D154" s="93">
        <v>200</v>
      </c>
      <c r="E154" s="93">
        <v>1650</v>
      </c>
      <c r="F154" s="93">
        <v>2250</v>
      </c>
      <c r="G154" s="93" t="s">
        <v>461</v>
      </c>
      <c r="H154" s="93" t="s">
        <v>462</v>
      </c>
      <c r="I154" s="93">
        <v>3000</v>
      </c>
      <c r="J154" s="72">
        <v>60</v>
      </c>
      <c r="K154" s="78" t="s">
        <v>463</v>
      </c>
      <c r="L154" s="78" t="s">
        <v>464</v>
      </c>
      <c r="M154" s="78" t="s">
        <v>465</v>
      </c>
      <c r="N154" s="78" t="s">
        <v>466</v>
      </c>
      <c r="O154" s="78" t="s">
        <v>467</v>
      </c>
      <c r="P154" s="78" t="s">
        <v>468</v>
      </c>
      <c r="Q154" s="78" t="s">
        <v>469</v>
      </c>
      <c r="R154" s="78" t="s">
        <v>470</v>
      </c>
      <c r="S154" s="78" t="s">
        <v>471</v>
      </c>
      <c r="T154" s="78" t="s">
        <v>472</v>
      </c>
      <c r="U154" s="78" t="s">
        <v>473</v>
      </c>
      <c r="V154" s="78" t="s">
        <v>474</v>
      </c>
      <c r="W154" s="80" t="s">
        <v>459</v>
      </c>
      <c r="X154" s="100">
        <v>5627</v>
      </c>
      <c r="Y154" s="100" t="s">
        <v>428</v>
      </c>
      <c r="Z154" s="82" t="s">
        <v>475</v>
      </c>
      <c r="AA154" s="100" t="s">
        <v>428</v>
      </c>
      <c r="AB154" s="100" t="s">
        <v>428</v>
      </c>
      <c r="AC154" s="101" t="s">
        <v>428</v>
      </c>
      <c r="AD154" s="101" t="s">
        <v>428</v>
      </c>
      <c r="AE154" s="101" t="s">
        <v>428</v>
      </c>
      <c r="AF154" s="98" t="s">
        <v>428</v>
      </c>
    </row>
    <row r="155" spans="1:36" s="124" customFormat="1" x14ac:dyDescent="0.25">
      <c r="A155" s="115" t="s">
        <v>476</v>
      </c>
      <c r="B155" s="116">
        <v>400</v>
      </c>
      <c r="C155" s="116" t="s">
        <v>518</v>
      </c>
      <c r="D155" s="116">
        <v>300</v>
      </c>
      <c r="E155" s="116">
        <v>1050</v>
      </c>
      <c r="F155" s="116">
        <v>1650</v>
      </c>
      <c r="G155" s="116" t="s">
        <v>477</v>
      </c>
      <c r="H155" s="116" t="s">
        <v>478</v>
      </c>
      <c r="I155" s="116">
        <v>1800</v>
      </c>
      <c r="J155" s="117" t="s">
        <v>478</v>
      </c>
      <c r="K155" s="118" t="s">
        <v>479</v>
      </c>
      <c r="L155" s="118">
        <v>-1.54E-2</v>
      </c>
      <c r="M155" s="118">
        <v>6.2099999999999998E-6</v>
      </c>
      <c r="N155" s="118">
        <v>-1.03E-9</v>
      </c>
      <c r="O155" s="118">
        <v>0</v>
      </c>
      <c r="P155" s="118" t="s">
        <v>480</v>
      </c>
      <c r="Q155" s="118" t="s">
        <v>481</v>
      </c>
      <c r="R155" s="118">
        <v>1.12E-4</v>
      </c>
      <c r="S155" s="118">
        <v>-4.1299999999999999E-8</v>
      </c>
      <c r="T155" s="118" t="s">
        <v>482</v>
      </c>
      <c r="U155" s="118">
        <v>0</v>
      </c>
      <c r="V155" s="118" t="s">
        <v>483</v>
      </c>
      <c r="W155" s="119">
        <v>5000</v>
      </c>
      <c r="X155" s="120">
        <v>6000</v>
      </c>
      <c r="Y155" s="120" t="s">
        <v>484</v>
      </c>
      <c r="Z155" s="121">
        <v>154</v>
      </c>
      <c r="AA155" s="120">
        <v>240</v>
      </c>
      <c r="AB155" s="120">
        <v>1</v>
      </c>
      <c r="AC155" s="122">
        <v>400</v>
      </c>
      <c r="AD155" s="122">
        <v>1</v>
      </c>
      <c r="AE155" s="122">
        <v>105</v>
      </c>
      <c r="AF155" s="123" t="s">
        <v>485</v>
      </c>
      <c r="AG155" s="124">
        <v>1050</v>
      </c>
      <c r="AH155" s="124" t="s">
        <v>486</v>
      </c>
    </row>
    <row r="156" spans="1:36" s="124" customFormat="1" x14ac:dyDescent="0.25">
      <c r="A156" s="115" t="s">
        <v>476</v>
      </c>
      <c r="B156" s="116">
        <v>400</v>
      </c>
      <c r="C156" s="116" t="s">
        <v>519</v>
      </c>
      <c r="D156" s="116">
        <v>400</v>
      </c>
      <c r="E156" s="116">
        <v>1400</v>
      </c>
      <c r="F156" s="116">
        <v>2200</v>
      </c>
      <c r="G156" s="116" t="s">
        <v>487</v>
      </c>
      <c r="H156" s="116" t="s">
        <v>488</v>
      </c>
      <c r="I156" s="116">
        <v>2500</v>
      </c>
      <c r="J156" s="117" t="s">
        <v>488</v>
      </c>
      <c r="K156" s="118" t="s">
        <v>489</v>
      </c>
      <c r="L156" s="118">
        <v>-1.1299999999999999E-2</v>
      </c>
      <c r="M156" s="118" t="s">
        <v>490</v>
      </c>
      <c r="N156" s="118" t="s">
        <v>491</v>
      </c>
      <c r="O156" s="118">
        <v>0</v>
      </c>
      <c r="P156" s="118" t="s">
        <v>492</v>
      </c>
      <c r="Q156" s="118" t="s">
        <v>493</v>
      </c>
      <c r="R156" s="118" t="s">
        <v>494</v>
      </c>
      <c r="S156" s="118" t="s">
        <v>495</v>
      </c>
      <c r="T156" s="118">
        <v>4.2200000000000002E-12</v>
      </c>
      <c r="U156" s="118">
        <v>0</v>
      </c>
      <c r="V156" s="118" t="s">
        <v>483</v>
      </c>
      <c r="W156" s="119">
        <v>5000</v>
      </c>
      <c r="X156" s="120">
        <v>6000</v>
      </c>
      <c r="Y156" s="120" t="s">
        <v>484</v>
      </c>
      <c r="Z156" s="121">
        <v>154</v>
      </c>
      <c r="AA156" s="120">
        <v>240</v>
      </c>
      <c r="AB156" s="120">
        <v>1</v>
      </c>
      <c r="AC156" s="122">
        <v>400</v>
      </c>
      <c r="AD156" s="122">
        <v>1</v>
      </c>
      <c r="AE156" s="122">
        <v>163</v>
      </c>
      <c r="AF156" s="123" t="s">
        <v>485</v>
      </c>
      <c r="AG156" s="124">
        <v>1400</v>
      </c>
      <c r="AH156" s="124" t="s">
        <v>486</v>
      </c>
    </row>
    <row r="157" spans="1:36" s="124" customFormat="1" x14ac:dyDescent="0.25">
      <c r="A157" s="115" t="s">
        <v>476</v>
      </c>
      <c r="B157" s="116">
        <v>400</v>
      </c>
      <c r="C157" s="116" t="s">
        <v>520</v>
      </c>
      <c r="D157" s="116">
        <v>500</v>
      </c>
      <c r="E157" s="116">
        <v>1750</v>
      </c>
      <c r="F157" s="116">
        <v>2700</v>
      </c>
      <c r="G157" s="116" t="s">
        <v>496</v>
      </c>
      <c r="H157" s="116" t="s">
        <v>497</v>
      </c>
      <c r="I157" s="116">
        <v>3000</v>
      </c>
      <c r="J157" s="117" t="s">
        <v>497</v>
      </c>
      <c r="K157" s="118" t="s">
        <v>498</v>
      </c>
      <c r="L157" s="118" t="s">
        <v>499</v>
      </c>
      <c r="M157" s="118" t="s">
        <v>500</v>
      </c>
      <c r="N157" s="118" t="s">
        <v>501</v>
      </c>
      <c r="O157" s="118">
        <v>0</v>
      </c>
      <c r="P157" s="118" t="s">
        <v>502</v>
      </c>
      <c r="Q157" s="118" t="s">
        <v>503</v>
      </c>
      <c r="R157" s="118" t="s">
        <v>504</v>
      </c>
      <c r="S157" s="118" t="s">
        <v>505</v>
      </c>
      <c r="T157" s="118" t="s">
        <v>506</v>
      </c>
      <c r="U157" s="118">
        <v>0</v>
      </c>
      <c r="V157" s="118" t="s">
        <v>483</v>
      </c>
      <c r="W157" s="119">
        <v>5000</v>
      </c>
      <c r="X157" s="120">
        <v>6000</v>
      </c>
      <c r="Y157" s="120" t="s">
        <v>484</v>
      </c>
      <c r="Z157" s="121">
        <v>154</v>
      </c>
      <c r="AA157" s="120">
        <v>240</v>
      </c>
      <c r="AB157" s="120">
        <v>1</v>
      </c>
      <c r="AC157" s="122">
        <v>400</v>
      </c>
      <c r="AD157" s="122">
        <v>1</v>
      </c>
      <c r="AE157" s="122">
        <v>93</v>
      </c>
      <c r="AF157" s="123" t="s">
        <v>485</v>
      </c>
      <c r="AG157" s="124">
        <v>1750</v>
      </c>
      <c r="AH157" s="124" t="s">
        <v>486</v>
      </c>
    </row>
    <row r="158" spans="1:36" s="124" customFormat="1" x14ac:dyDescent="0.25">
      <c r="A158" s="115" t="s">
        <v>476</v>
      </c>
      <c r="B158" s="116">
        <v>400</v>
      </c>
      <c r="C158" s="116" t="s">
        <v>521</v>
      </c>
      <c r="D158" s="116">
        <v>600</v>
      </c>
      <c r="E158" s="116">
        <v>1800</v>
      </c>
      <c r="F158" s="116">
        <v>2850</v>
      </c>
      <c r="G158" s="116" t="s">
        <v>507</v>
      </c>
      <c r="H158" s="116" t="s">
        <v>508</v>
      </c>
      <c r="I158" s="116">
        <v>3200</v>
      </c>
      <c r="J158" s="117" t="s">
        <v>508</v>
      </c>
      <c r="K158" s="118" t="s">
        <v>509</v>
      </c>
      <c r="L158" s="118" t="s">
        <v>510</v>
      </c>
      <c r="M158" s="118" t="s">
        <v>511</v>
      </c>
      <c r="N158" s="118" t="s">
        <v>512</v>
      </c>
      <c r="O158" s="118">
        <v>0</v>
      </c>
      <c r="P158" s="118" t="s">
        <v>513</v>
      </c>
      <c r="Q158" s="118" t="s">
        <v>514</v>
      </c>
      <c r="R158" s="118" t="s">
        <v>515</v>
      </c>
      <c r="S158" s="118" t="s">
        <v>516</v>
      </c>
      <c r="T158" s="118" t="s">
        <v>517</v>
      </c>
      <c r="U158" s="118">
        <v>0</v>
      </c>
      <c r="V158" s="118" t="s">
        <v>483</v>
      </c>
      <c r="W158" s="119">
        <v>5000</v>
      </c>
      <c r="X158" s="120">
        <v>6000</v>
      </c>
      <c r="Y158" s="120" t="s">
        <v>484</v>
      </c>
      <c r="Z158" s="121">
        <v>154</v>
      </c>
      <c r="AA158" s="120">
        <v>240</v>
      </c>
      <c r="AB158" s="120">
        <v>1</v>
      </c>
      <c r="AC158" s="122">
        <v>400</v>
      </c>
      <c r="AD158" s="122">
        <v>1</v>
      </c>
      <c r="AE158" s="122">
        <v>117</v>
      </c>
      <c r="AF158" s="123" t="s">
        <v>485</v>
      </c>
      <c r="AG158" s="124">
        <v>1800</v>
      </c>
      <c r="AH158" s="124" t="s">
        <v>486</v>
      </c>
    </row>
    <row r="159" spans="1:36" s="44" customFormat="1" x14ac:dyDescent="0.25">
      <c r="A159" s="14" t="s">
        <v>523</v>
      </c>
      <c r="B159" s="93">
        <v>538</v>
      </c>
      <c r="C159" s="93" t="s">
        <v>613</v>
      </c>
      <c r="D159" s="93">
        <v>2000</v>
      </c>
      <c r="E159" s="93">
        <v>8000</v>
      </c>
      <c r="F159" s="93">
        <v>10500</v>
      </c>
      <c r="G159" s="93">
        <v>0.8</v>
      </c>
      <c r="H159" s="93">
        <v>74.650000000000006</v>
      </c>
      <c r="I159" s="93">
        <v>12900</v>
      </c>
      <c r="J159" s="72">
        <v>60</v>
      </c>
      <c r="K159" s="78">
        <v>71</v>
      </c>
      <c r="L159" s="78">
        <v>7.9399999999999991E-3</v>
      </c>
      <c r="M159" s="78">
        <v>-5.2299999999999999E-6</v>
      </c>
      <c r="N159" s="78">
        <v>1.01E-9</v>
      </c>
      <c r="O159" s="78">
        <v>-8.4899999999999997E-14</v>
      </c>
      <c r="P159" s="78">
        <v>2.46E-18</v>
      </c>
      <c r="Q159" s="78">
        <v>2.4700000000000002</v>
      </c>
      <c r="R159" s="78">
        <v>3.21E-4</v>
      </c>
      <c r="S159" s="78">
        <v>-6.5400000000000003E-8</v>
      </c>
      <c r="T159" s="78">
        <v>1.1300000000000001E-11</v>
      </c>
      <c r="U159" s="78">
        <v>-9.2400000000000003E-16</v>
      </c>
      <c r="V159" s="78">
        <v>2.5500000000000001E-20</v>
      </c>
      <c r="W159" s="80">
        <v>5.38</v>
      </c>
      <c r="X159" s="100">
        <v>5000</v>
      </c>
      <c r="Y159" s="100">
        <v>6000</v>
      </c>
      <c r="Z159" s="82">
        <v>0.88</v>
      </c>
      <c r="AA159" s="100">
        <v>400</v>
      </c>
      <c r="AB159" s="100">
        <v>500</v>
      </c>
      <c r="AC159" s="101">
        <v>3</v>
      </c>
      <c r="AD159" s="101">
        <v>72</v>
      </c>
      <c r="AE159" s="101">
        <v>5</v>
      </c>
      <c r="AF159" s="98">
        <v>18000</v>
      </c>
    </row>
    <row r="160" spans="1:36" s="44" customFormat="1" x14ac:dyDescent="0.25">
      <c r="A160" s="14" t="s">
        <v>476</v>
      </c>
      <c r="B160" s="93">
        <v>538</v>
      </c>
      <c r="C160" s="93" t="s">
        <v>614</v>
      </c>
      <c r="D160" s="93">
        <v>3500</v>
      </c>
      <c r="E160" s="93">
        <v>8000</v>
      </c>
      <c r="F160" s="93">
        <v>10500</v>
      </c>
      <c r="G160" s="93">
        <v>77.2</v>
      </c>
      <c r="H160" s="93">
        <v>64.367000000000004</v>
      </c>
      <c r="I160" s="93">
        <v>12500</v>
      </c>
      <c r="J160" s="72">
        <v>60</v>
      </c>
      <c r="K160" s="78" t="s">
        <v>615</v>
      </c>
      <c r="L160" s="78" t="s">
        <v>617</v>
      </c>
      <c r="M160" s="78" t="s">
        <v>618</v>
      </c>
      <c r="N160" s="78" t="s">
        <v>619</v>
      </c>
      <c r="O160" s="78" t="s">
        <v>620</v>
      </c>
      <c r="P160" s="78" t="s">
        <v>621</v>
      </c>
      <c r="Q160" s="44" t="s">
        <v>616</v>
      </c>
      <c r="R160" s="78" t="s">
        <v>622</v>
      </c>
      <c r="S160" s="78" t="s">
        <v>623</v>
      </c>
      <c r="T160" s="78" t="s">
        <v>624</v>
      </c>
      <c r="U160" s="78" t="s">
        <v>625</v>
      </c>
      <c r="V160" s="78" t="s">
        <v>626</v>
      </c>
      <c r="W160" s="80">
        <v>5.38</v>
      </c>
      <c r="X160" s="100">
        <v>5000</v>
      </c>
      <c r="Y160" s="100">
        <v>7500</v>
      </c>
      <c r="Z160" s="82">
        <v>1</v>
      </c>
      <c r="AA160" s="100">
        <v>3.8</v>
      </c>
      <c r="AB160" s="100">
        <v>5.2</v>
      </c>
      <c r="AC160" s="101">
        <v>1</v>
      </c>
      <c r="AD160" s="101">
        <v>500</v>
      </c>
      <c r="AE160" s="101">
        <v>1</v>
      </c>
      <c r="AF160" s="98">
        <v>5000</v>
      </c>
      <c r="AG160" s="44" t="s">
        <v>485</v>
      </c>
      <c r="AH160" s="44" t="s">
        <v>485</v>
      </c>
      <c r="AI160" s="44">
        <v>0</v>
      </c>
      <c r="AJ160" s="44">
        <v>0</v>
      </c>
    </row>
    <row r="161" spans="1:36" s="44" customFormat="1" x14ac:dyDescent="0.25">
      <c r="A161" s="14" t="s">
        <v>522</v>
      </c>
      <c r="B161" s="93">
        <v>538</v>
      </c>
      <c r="C161" s="93" t="s">
        <v>627</v>
      </c>
      <c r="D161" s="93">
        <v>2200</v>
      </c>
      <c r="E161" s="93">
        <v>7500</v>
      </c>
      <c r="F161" s="93">
        <v>10500</v>
      </c>
      <c r="G161" s="93">
        <v>77.22</v>
      </c>
      <c r="H161" s="93">
        <v>77</v>
      </c>
      <c r="I161" s="93">
        <v>12000</v>
      </c>
      <c r="J161" s="72">
        <v>60</v>
      </c>
      <c r="K161" s="78" t="s">
        <v>628</v>
      </c>
      <c r="L161" s="78" t="s">
        <v>629</v>
      </c>
      <c r="M161" s="78" t="s">
        <v>630</v>
      </c>
      <c r="N161" s="78" t="s">
        <v>631</v>
      </c>
      <c r="O161" s="78" t="s">
        <v>632</v>
      </c>
      <c r="P161" s="78" t="s">
        <v>633</v>
      </c>
      <c r="Q161" s="44" t="s">
        <v>634</v>
      </c>
      <c r="R161" s="78" t="s">
        <v>635</v>
      </c>
      <c r="S161" s="78" t="s">
        <v>636</v>
      </c>
      <c r="T161" s="78" t="s">
        <v>637</v>
      </c>
      <c r="U161" s="78" t="s">
        <v>638</v>
      </c>
      <c r="V161" s="78" t="s">
        <v>639</v>
      </c>
      <c r="W161" s="80">
        <v>5.38</v>
      </c>
      <c r="X161" s="100">
        <v>5627</v>
      </c>
      <c r="Y161" s="100">
        <v>7500</v>
      </c>
      <c r="Z161" s="82">
        <v>0.875</v>
      </c>
      <c r="AA161" s="100">
        <v>4</v>
      </c>
      <c r="AB161" s="100">
        <v>5.5</v>
      </c>
      <c r="AC161" s="101">
        <v>10</v>
      </c>
      <c r="AD161" s="101">
        <v>60</v>
      </c>
      <c r="AE161" s="101"/>
      <c r="AF161" s="98"/>
    </row>
    <row r="162" spans="1:36" s="44" customFormat="1" x14ac:dyDescent="0.25">
      <c r="A162" s="14" t="s">
        <v>523</v>
      </c>
      <c r="B162" s="93">
        <v>538</v>
      </c>
      <c r="C162" s="93" t="s">
        <v>640</v>
      </c>
      <c r="D162" s="93">
        <v>300</v>
      </c>
      <c r="E162" s="93">
        <v>2716</v>
      </c>
      <c r="F162" s="93">
        <v>3500</v>
      </c>
      <c r="G162" s="93">
        <v>0.7</v>
      </c>
      <c r="H162" s="93">
        <v>71.709999999999994</v>
      </c>
      <c r="I162" s="93">
        <v>4850</v>
      </c>
      <c r="J162" s="72">
        <v>60</v>
      </c>
      <c r="K162" s="78">
        <v>71.7</v>
      </c>
      <c r="L162" s="78">
        <v>-6.6800000000000002E-3</v>
      </c>
      <c r="M162" s="78">
        <v>6.9600000000000003E-6</v>
      </c>
      <c r="N162" s="78">
        <v>-4.6800000000000004E-9</v>
      </c>
      <c r="O162" s="78">
        <v>9.8800000000000003E-13</v>
      </c>
      <c r="P162" s="78">
        <v>-7.9900000000000002E-17</v>
      </c>
      <c r="Q162" s="44">
        <v>0.90600000000000003</v>
      </c>
      <c r="R162" s="78">
        <v>2.7500000000000001E-5</v>
      </c>
      <c r="S162" s="78">
        <v>3.3799999999999998E-7</v>
      </c>
      <c r="T162" s="78">
        <v>-1.7800000000000001E-10</v>
      </c>
      <c r="U162" s="78">
        <v>3.7499999999999998E-14</v>
      </c>
      <c r="V162" s="78">
        <v>-2.9799999999999999E-18</v>
      </c>
      <c r="W162" s="80">
        <v>5.38</v>
      </c>
      <c r="X162" s="100">
        <v>5000</v>
      </c>
      <c r="Y162" s="100">
        <v>6000</v>
      </c>
      <c r="Z162" s="82">
        <v>0.88</v>
      </c>
      <c r="AA162" s="100">
        <v>250</v>
      </c>
      <c r="AB162" s="100">
        <v>400</v>
      </c>
      <c r="AC162" s="101">
        <v>5</v>
      </c>
      <c r="AD162" s="101">
        <v>98</v>
      </c>
      <c r="AE162" s="101">
        <v>7</v>
      </c>
      <c r="AF162" s="98">
        <v>18000</v>
      </c>
    </row>
    <row r="163" spans="1:36" s="44" customFormat="1" x14ac:dyDescent="0.25">
      <c r="A163" s="14" t="s">
        <v>641</v>
      </c>
      <c r="B163" s="93">
        <v>562</v>
      </c>
      <c r="C163" s="93" t="s">
        <v>642</v>
      </c>
      <c r="D163" s="93">
        <v>11000</v>
      </c>
      <c r="E163" s="93">
        <v>16000</v>
      </c>
      <c r="F163" s="93">
        <v>18500</v>
      </c>
      <c r="G163" s="93">
        <v>72.599999999999994</v>
      </c>
      <c r="H163" s="93">
        <v>24.66</v>
      </c>
      <c r="I163" s="93">
        <v>26000</v>
      </c>
      <c r="J163" s="72">
        <v>60</v>
      </c>
      <c r="K163" s="78">
        <v>24.7</v>
      </c>
      <c r="L163" s="78">
        <v>-7.7700000000000002E-4</v>
      </c>
      <c r="M163" s="78">
        <v>3.8799999999999997E-8</v>
      </c>
      <c r="N163" s="78">
        <v>3.5899999999999998E-12</v>
      </c>
      <c r="O163" s="78">
        <v>-3.9999999999999999E-16</v>
      </c>
      <c r="P163" s="78">
        <v>7.4900000000000001E-21</v>
      </c>
      <c r="Q163" s="44">
        <v>5.16</v>
      </c>
      <c r="R163" s="78">
        <v>-1.44E-4</v>
      </c>
      <c r="S163" s="78">
        <v>4.2499999999999997E-8</v>
      </c>
      <c r="T163" s="78">
        <v>-6.4599999999999997E-13</v>
      </c>
      <c r="U163" s="78">
        <v>-7.3999999999999995E-17</v>
      </c>
      <c r="V163" s="78">
        <v>1.89E-21</v>
      </c>
      <c r="W163" s="80">
        <v>5.62</v>
      </c>
      <c r="X163" s="100">
        <v>5000</v>
      </c>
      <c r="Y163" s="100">
        <v>7500</v>
      </c>
      <c r="Z163" s="82">
        <v>1</v>
      </c>
      <c r="AA163" s="100">
        <v>5.5</v>
      </c>
      <c r="AB163" s="100">
        <v>7.5</v>
      </c>
      <c r="AC163" s="101">
        <v>1</v>
      </c>
      <c r="AD163" s="101">
        <v>45</v>
      </c>
      <c r="AE163" s="101">
        <v>1</v>
      </c>
      <c r="AF163" s="98">
        <v>5200</v>
      </c>
      <c r="AG163" s="44" t="s">
        <v>485</v>
      </c>
      <c r="AH163" s="44" t="s">
        <v>485</v>
      </c>
      <c r="AI163" s="44">
        <v>0</v>
      </c>
      <c r="AJ163" s="44">
        <v>0</v>
      </c>
    </row>
    <row r="164" spans="1:36" s="44" customFormat="1" x14ac:dyDescent="0.25">
      <c r="A164" s="32"/>
      <c r="B164" s="27"/>
      <c r="C164" s="33"/>
      <c r="D164" s="27"/>
      <c r="E164" s="126"/>
      <c r="F164" s="27"/>
      <c r="G164" s="27"/>
      <c r="H164" s="27"/>
      <c r="I164" s="27"/>
      <c r="J164" s="27"/>
      <c r="K164" s="125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9"/>
      <c r="X164" s="30"/>
      <c r="Y164" s="30"/>
      <c r="Z164" s="26"/>
      <c r="AA164" s="30"/>
      <c r="AB164" s="30"/>
      <c r="AC164" s="31"/>
      <c r="AD164" s="31"/>
      <c r="AE164" s="31"/>
      <c r="AF164" s="36"/>
    </row>
    <row r="165" spans="1:36" s="44" customFormat="1" x14ac:dyDescent="0.25">
      <c r="A165" s="32"/>
      <c r="B165" s="27"/>
      <c r="C165" s="33"/>
      <c r="D165" s="27"/>
      <c r="E165" s="27"/>
      <c r="F165" s="27"/>
      <c r="G165" s="27"/>
      <c r="H165" s="27"/>
      <c r="I165" s="27"/>
      <c r="J165" s="27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9"/>
      <c r="X165" s="30"/>
      <c r="Y165" s="30"/>
      <c r="Z165" s="26"/>
      <c r="AA165" s="30"/>
      <c r="AB165" s="30"/>
      <c r="AC165" s="31"/>
      <c r="AD165" s="31"/>
      <c r="AE165" s="31"/>
      <c r="AF165" s="36"/>
    </row>
    <row r="166" spans="1:36" s="44" customFormat="1" x14ac:dyDescent="0.25">
      <c r="A166" s="32"/>
      <c r="B166" s="27"/>
      <c r="C166" s="33"/>
      <c r="D166" s="27"/>
      <c r="E166" s="27"/>
      <c r="F166" s="27"/>
      <c r="G166" s="27"/>
      <c r="H166" s="27"/>
      <c r="I166" s="27"/>
      <c r="J166" s="27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9"/>
      <c r="X166" s="30"/>
      <c r="Y166" s="30"/>
      <c r="Z166" s="26"/>
      <c r="AA166" s="30"/>
      <c r="AB166" s="30"/>
      <c r="AC166" s="31"/>
      <c r="AD166" s="31"/>
      <c r="AE166" s="31"/>
      <c r="AF166" s="36"/>
    </row>
    <row r="167" spans="1:36" s="44" customFormat="1" x14ac:dyDescent="0.25">
      <c r="A167" s="32"/>
      <c r="B167" s="27"/>
      <c r="C167" s="33"/>
      <c r="D167" s="27"/>
      <c r="E167" s="27"/>
      <c r="F167" s="27"/>
      <c r="G167" s="27"/>
      <c r="H167" s="27"/>
      <c r="I167" s="27"/>
      <c r="J167" s="27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9"/>
      <c r="X167" s="30"/>
      <c r="Y167" s="30"/>
      <c r="Z167" s="26"/>
      <c r="AA167" s="30"/>
      <c r="AB167" s="30"/>
      <c r="AC167" s="31"/>
      <c r="AD167" s="31"/>
      <c r="AE167" s="31"/>
      <c r="AF167" s="36"/>
    </row>
    <row r="168" spans="1:36" s="44" customFormat="1" x14ac:dyDescent="0.25">
      <c r="A168" s="32"/>
      <c r="B168" s="27"/>
      <c r="C168" s="33"/>
      <c r="D168" s="27"/>
      <c r="E168" s="27"/>
      <c r="F168" s="27"/>
      <c r="G168" s="27"/>
      <c r="H168" s="27"/>
      <c r="I168" s="27"/>
      <c r="J168" s="27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9"/>
      <c r="X168" s="30"/>
      <c r="Y168" s="30"/>
      <c r="Z168" s="26"/>
      <c r="AA168" s="30"/>
      <c r="AB168" s="30"/>
      <c r="AC168" s="31"/>
      <c r="AD168" s="31"/>
      <c r="AE168" s="31"/>
      <c r="AF168" s="36"/>
    </row>
    <row r="169" spans="1:36" s="44" customFormat="1" x14ac:dyDescent="0.25">
      <c r="A169" s="32"/>
      <c r="B169" s="27"/>
      <c r="C169" s="33"/>
      <c r="D169" s="27"/>
      <c r="E169" s="27"/>
      <c r="F169" s="27"/>
      <c r="G169" s="27"/>
      <c r="H169" s="27"/>
      <c r="I169" s="27"/>
      <c r="J169" s="27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9"/>
      <c r="X169" s="30"/>
      <c r="Y169" s="30"/>
      <c r="Z169" s="26"/>
      <c r="AA169" s="30"/>
      <c r="AB169" s="30"/>
      <c r="AC169" s="31"/>
      <c r="AD169" s="31"/>
      <c r="AE169" s="31"/>
      <c r="AF169" s="36"/>
    </row>
    <row r="170" spans="1:36" s="44" customFormat="1" x14ac:dyDescent="0.25">
      <c r="A170" s="32"/>
      <c r="B170" s="27"/>
      <c r="C170" s="33"/>
      <c r="D170" s="27"/>
      <c r="E170" s="27"/>
      <c r="F170" s="27"/>
      <c r="G170" s="27"/>
      <c r="H170" s="27"/>
      <c r="I170" s="27"/>
      <c r="J170" s="27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9"/>
      <c r="X170" s="30"/>
      <c r="Y170" s="30"/>
      <c r="Z170" s="26"/>
      <c r="AA170" s="30"/>
      <c r="AB170" s="30"/>
      <c r="AC170" s="31"/>
      <c r="AD170" s="31"/>
      <c r="AE170" s="31"/>
      <c r="AF170" s="37"/>
      <c r="AG170" s="45"/>
      <c r="AH170" s="45"/>
    </row>
    <row r="171" spans="1:36" s="44" customFormat="1" x14ac:dyDescent="0.25">
      <c r="A171" s="32"/>
      <c r="B171" s="27"/>
      <c r="C171" s="33"/>
      <c r="D171" s="27"/>
      <c r="E171" s="27"/>
      <c r="F171" s="27"/>
      <c r="G171" s="27"/>
      <c r="H171" s="27"/>
      <c r="I171" s="27"/>
      <c r="J171" s="27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9"/>
      <c r="X171" s="30"/>
      <c r="Y171" s="30"/>
      <c r="Z171" s="26"/>
      <c r="AA171" s="30"/>
      <c r="AB171" s="30"/>
      <c r="AC171" s="31"/>
      <c r="AD171" s="31"/>
      <c r="AE171" s="31"/>
      <c r="AF171" s="36"/>
    </row>
    <row r="172" spans="1:36" s="44" customFormat="1" x14ac:dyDescent="0.25">
      <c r="A172" s="32"/>
      <c r="B172" s="27"/>
      <c r="C172" s="33"/>
      <c r="D172" s="27"/>
      <c r="E172" s="27"/>
      <c r="F172" s="27"/>
      <c r="G172" s="27"/>
      <c r="H172" s="27"/>
      <c r="I172" s="27"/>
      <c r="J172" s="27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9"/>
      <c r="X172" s="30"/>
      <c r="Y172" s="30"/>
      <c r="Z172" s="26"/>
      <c r="AA172" s="30"/>
      <c r="AB172" s="30"/>
      <c r="AC172" s="31"/>
      <c r="AD172" s="31"/>
      <c r="AE172" s="31"/>
      <c r="AF172" s="36"/>
    </row>
    <row r="173" spans="1:36" s="44" customFormat="1" x14ac:dyDescent="0.25">
      <c r="A173" s="32"/>
      <c r="B173" s="27"/>
      <c r="C173" s="33"/>
      <c r="D173" s="27"/>
      <c r="E173" s="27"/>
      <c r="F173" s="27"/>
      <c r="G173" s="27"/>
      <c r="H173" s="27"/>
      <c r="I173" s="27"/>
      <c r="J173" s="27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9"/>
      <c r="X173" s="30"/>
      <c r="Y173" s="30"/>
      <c r="Z173" s="26"/>
      <c r="AA173" s="30"/>
      <c r="AB173" s="30"/>
      <c r="AC173" s="31"/>
      <c r="AD173" s="31"/>
      <c r="AE173" s="31"/>
      <c r="AF173" s="36"/>
    </row>
    <row r="174" spans="1:36" s="44" customFormat="1" x14ac:dyDescent="0.25">
      <c r="A174" s="32"/>
      <c r="B174" s="27"/>
      <c r="C174" s="33"/>
      <c r="D174" s="27"/>
      <c r="E174" s="27"/>
      <c r="F174" s="27"/>
      <c r="G174" s="27"/>
      <c r="H174" s="27"/>
      <c r="I174" s="27"/>
      <c r="J174" s="27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9"/>
      <c r="X174" s="30"/>
      <c r="Y174" s="30"/>
      <c r="Z174" s="26"/>
      <c r="AA174" s="30"/>
      <c r="AB174" s="30"/>
      <c r="AC174" s="31"/>
      <c r="AD174" s="31"/>
      <c r="AE174" s="31"/>
      <c r="AF174" s="36"/>
    </row>
    <row r="175" spans="1:36" s="46" customFormat="1" x14ac:dyDescent="0.25">
      <c r="A175" s="32"/>
      <c r="B175" s="27"/>
      <c r="C175" s="33"/>
      <c r="D175" s="27"/>
      <c r="E175" s="27"/>
      <c r="F175" s="27"/>
      <c r="G175" s="27"/>
      <c r="H175" s="27"/>
      <c r="I175" s="27"/>
      <c r="J175" s="27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9"/>
      <c r="X175" s="30"/>
      <c r="Y175" s="30"/>
      <c r="Z175" s="26"/>
      <c r="AA175" s="30"/>
      <c r="AB175" s="30"/>
      <c r="AC175" s="31"/>
      <c r="AD175" s="31"/>
      <c r="AE175" s="31"/>
      <c r="AF175" s="38"/>
    </row>
    <row r="176" spans="1:36" s="44" customFormat="1" x14ac:dyDescent="0.25">
      <c r="A176" s="32"/>
      <c r="B176" s="27"/>
      <c r="C176" s="33"/>
      <c r="D176" s="27"/>
      <c r="E176" s="27"/>
      <c r="F176" s="27"/>
      <c r="G176" s="27"/>
      <c r="H176" s="27"/>
      <c r="I176" s="27"/>
      <c r="J176" s="27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9"/>
      <c r="X176" s="30"/>
      <c r="Y176" s="30"/>
      <c r="Z176" s="26"/>
      <c r="AA176" s="30"/>
      <c r="AB176" s="30"/>
      <c r="AC176" s="31"/>
      <c r="AD176" s="31"/>
      <c r="AE176" s="31"/>
      <c r="AF176" s="38"/>
      <c r="AG176" s="46"/>
      <c r="AH176" s="46"/>
    </row>
    <row r="177" spans="1:33" s="44" customFormat="1" x14ac:dyDescent="0.25">
      <c r="A177" s="32"/>
      <c r="B177" s="27"/>
      <c r="C177" s="33"/>
      <c r="D177" s="27"/>
      <c r="E177" s="27"/>
      <c r="F177" s="27"/>
      <c r="G177" s="27"/>
      <c r="H177" s="27"/>
      <c r="I177" s="27"/>
      <c r="J177" s="27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9"/>
      <c r="X177" s="30"/>
      <c r="Y177" s="30"/>
      <c r="Z177" s="26"/>
      <c r="AA177" s="30"/>
      <c r="AB177" s="30"/>
      <c r="AC177" s="31"/>
      <c r="AD177" s="31"/>
      <c r="AE177" s="31"/>
      <c r="AF177" s="36"/>
    </row>
    <row r="178" spans="1:33" s="44" customFormat="1" x14ac:dyDescent="0.25">
      <c r="A178" s="32"/>
      <c r="B178" s="27"/>
      <c r="C178" s="33"/>
      <c r="D178" s="27"/>
      <c r="E178" s="27"/>
      <c r="F178" s="27"/>
      <c r="G178" s="27"/>
      <c r="H178" s="27"/>
      <c r="I178" s="27"/>
      <c r="J178" s="27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9"/>
      <c r="X178" s="30"/>
      <c r="Y178" s="30"/>
      <c r="Z178" s="26"/>
      <c r="AA178" s="30"/>
      <c r="AB178" s="30"/>
      <c r="AC178" s="31"/>
      <c r="AD178" s="31"/>
      <c r="AE178" s="31"/>
      <c r="AF178" s="36"/>
    </row>
    <row r="179" spans="1:33" s="44" customFormat="1" x14ac:dyDescent="0.3">
      <c r="A179" s="35"/>
      <c r="B179" s="23"/>
      <c r="C179" s="40"/>
      <c r="D179" s="40"/>
      <c r="E179" s="41"/>
      <c r="F179" s="41"/>
      <c r="G179" s="41"/>
      <c r="H179" s="42"/>
      <c r="I179" s="42"/>
      <c r="J179" s="42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2"/>
      <c r="X179" s="42"/>
      <c r="Y179" s="42"/>
      <c r="Z179" s="42"/>
      <c r="AA179" s="42"/>
      <c r="AB179" s="42"/>
      <c r="AC179" s="36"/>
      <c r="AD179" s="36"/>
      <c r="AE179" s="36"/>
      <c r="AF179" s="42"/>
      <c r="AG179" s="36"/>
    </row>
    <row r="180" spans="1:33" s="44" customFormat="1" x14ac:dyDescent="0.3">
      <c r="A180" s="35"/>
      <c r="B180" s="23"/>
      <c r="C180" s="40"/>
      <c r="D180" s="40"/>
      <c r="E180" s="41"/>
      <c r="F180" s="41"/>
      <c r="G180" s="41"/>
      <c r="H180" s="42"/>
      <c r="I180" s="42"/>
      <c r="J180" s="42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2"/>
      <c r="X180" s="42"/>
      <c r="Y180" s="42"/>
      <c r="Z180" s="42"/>
      <c r="AA180" s="42"/>
      <c r="AB180" s="42"/>
      <c r="AC180" s="36"/>
      <c r="AD180" s="36"/>
      <c r="AE180" s="36"/>
      <c r="AF180" s="42"/>
      <c r="AG180" s="36"/>
    </row>
    <row r="181" spans="1:33" s="44" customFormat="1" x14ac:dyDescent="0.3">
      <c r="A181" s="35"/>
      <c r="B181" s="23"/>
      <c r="C181" s="40"/>
      <c r="D181" s="40"/>
      <c r="E181" s="41"/>
      <c r="F181" s="41"/>
      <c r="G181" s="41"/>
      <c r="H181" s="42"/>
      <c r="I181" s="42"/>
      <c r="J181" s="42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2"/>
      <c r="X181" s="42"/>
      <c r="Y181" s="42"/>
      <c r="Z181" s="42"/>
      <c r="AA181" s="42"/>
      <c r="AB181" s="42"/>
      <c r="AC181" s="36"/>
      <c r="AD181" s="36"/>
      <c r="AE181" s="36"/>
      <c r="AF181" s="42"/>
      <c r="AG181" s="36"/>
    </row>
    <row r="182" spans="1:33" s="44" customFormat="1" x14ac:dyDescent="0.3">
      <c r="A182" s="35"/>
      <c r="B182" s="23"/>
      <c r="C182" s="40"/>
      <c r="D182" s="40"/>
      <c r="E182" s="41"/>
      <c r="F182" s="41"/>
      <c r="G182" s="41"/>
      <c r="H182" s="42"/>
      <c r="I182" s="42"/>
      <c r="J182" s="42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2"/>
      <c r="X182" s="42"/>
      <c r="Y182" s="42"/>
      <c r="Z182" s="42"/>
      <c r="AA182" s="42"/>
      <c r="AB182" s="42"/>
      <c r="AC182" s="36"/>
      <c r="AD182" s="36"/>
      <c r="AE182" s="36"/>
      <c r="AF182" s="42"/>
      <c r="AG182" s="36"/>
    </row>
    <row r="183" spans="1:33" s="44" customFormat="1" x14ac:dyDescent="0.3">
      <c r="A183" s="35"/>
      <c r="B183" s="23"/>
      <c r="C183" s="40"/>
      <c r="D183" s="40"/>
      <c r="E183" s="41"/>
      <c r="F183" s="41"/>
      <c r="G183" s="41"/>
      <c r="H183" s="42"/>
      <c r="I183" s="42"/>
      <c r="J183" s="42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2"/>
      <c r="X183" s="42"/>
      <c r="Y183" s="42"/>
      <c r="Z183" s="42"/>
      <c r="AA183" s="42"/>
      <c r="AB183" s="42"/>
      <c r="AC183" s="36"/>
      <c r="AD183" s="36"/>
      <c r="AE183" s="36"/>
      <c r="AF183" s="42"/>
      <c r="AG183" s="36"/>
    </row>
    <row r="184" spans="1:33" s="44" customFormat="1" x14ac:dyDescent="0.3">
      <c r="A184" s="35"/>
      <c r="B184" s="23"/>
      <c r="C184" s="40"/>
      <c r="D184" s="40"/>
      <c r="E184" s="41"/>
      <c r="F184" s="41"/>
      <c r="G184" s="41"/>
      <c r="H184" s="42"/>
      <c r="I184" s="42"/>
      <c r="J184" s="42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2"/>
      <c r="X184" s="42"/>
      <c r="Y184" s="42"/>
      <c r="Z184" s="42"/>
      <c r="AA184" s="42"/>
      <c r="AB184" s="42"/>
      <c r="AC184" s="36"/>
      <c r="AD184" s="36"/>
      <c r="AE184" s="36"/>
      <c r="AF184" s="42"/>
      <c r="AG184" s="36"/>
    </row>
    <row r="185" spans="1:33" s="44" customFormat="1" x14ac:dyDescent="0.3">
      <c r="A185" s="35"/>
      <c r="B185" s="23"/>
      <c r="C185" s="40"/>
      <c r="D185" s="40"/>
      <c r="E185" s="41"/>
      <c r="F185" s="41"/>
      <c r="G185" s="41"/>
      <c r="H185" s="42"/>
      <c r="I185" s="42"/>
      <c r="J185" s="42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2"/>
      <c r="X185" s="42"/>
      <c r="Y185" s="42"/>
      <c r="Z185" s="42"/>
      <c r="AA185" s="42"/>
      <c r="AB185" s="42"/>
      <c r="AC185" s="36"/>
      <c r="AD185" s="36"/>
      <c r="AE185" s="36"/>
      <c r="AF185" s="42"/>
      <c r="AG185" s="36"/>
    </row>
    <row r="186" spans="1:33" s="44" customFormat="1" x14ac:dyDescent="0.3">
      <c r="A186" s="35"/>
      <c r="B186" s="23"/>
      <c r="C186" s="40"/>
      <c r="D186" s="40"/>
      <c r="E186" s="41"/>
      <c r="F186" s="41"/>
      <c r="G186" s="41"/>
      <c r="H186" s="42"/>
      <c r="I186" s="42"/>
      <c r="J186" s="42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2"/>
      <c r="X186" s="42"/>
      <c r="Y186" s="42"/>
      <c r="Z186" s="42"/>
      <c r="AA186" s="42"/>
      <c r="AB186" s="42"/>
      <c r="AC186" s="36"/>
      <c r="AD186" s="36"/>
      <c r="AE186" s="36"/>
      <c r="AF186" s="42"/>
      <c r="AG186" s="36"/>
    </row>
    <row r="187" spans="1:33" s="44" customFormat="1" x14ac:dyDescent="0.3">
      <c r="A187" s="35"/>
      <c r="B187" s="23"/>
      <c r="C187" s="40"/>
      <c r="D187" s="40"/>
      <c r="E187" s="41"/>
      <c r="F187" s="41"/>
      <c r="G187" s="41"/>
      <c r="H187" s="42"/>
      <c r="I187" s="42"/>
      <c r="J187" s="42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2"/>
      <c r="X187" s="42"/>
      <c r="Y187" s="42"/>
      <c r="Z187" s="42"/>
      <c r="AA187" s="42"/>
      <c r="AB187" s="42"/>
      <c r="AC187" s="36"/>
      <c r="AD187" s="36"/>
      <c r="AE187" s="36"/>
      <c r="AF187" s="42"/>
      <c r="AG187" s="36"/>
    </row>
    <row r="188" spans="1:33" s="44" customFormat="1" x14ac:dyDescent="0.3">
      <c r="A188" s="35"/>
      <c r="B188" s="23"/>
      <c r="C188" s="40"/>
      <c r="D188" s="40"/>
      <c r="E188" s="41"/>
      <c r="F188" s="41"/>
      <c r="G188" s="41"/>
      <c r="H188" s="42"/>
      <c r="I188" s="42"/>
      <c r="J188" s="42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2"/>
      <c r="X188" s="42"/>
      <c r="Y188" s="42"/>
      <c r="Z188" s="42"/>
      <c r="AA188" s="42"/>
      <c r="AB188" s="42"/>
      <c r="AC188" s="36"/>
      <c r="AD188" s="36"/>
      <c r="AE188" s="36"/>
      <c r="AF188" s="42"/>
      <c r="AG188" s="36"/>
    </row>
    <row r="189" spans="1:33" s="44" customFormat="1" x14ac:dyDescent="0.3">
      <c r="A189" s="35"/>
      <c r="B189" s="23"/>
      <c r="C189" s="40"/>
      <c r="D189" s="40"/>
      <c r="E189" s="41"/>
      <c r="F189" s="41"/>
      <c r="G189" s="41"/>
      <c r="H189" s="42"/>
      <c r="I189" s="42"/>
      <c r="J189" s="42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2"/>
      <c r="X189" s="42"/>
      <c r="Y189" s="42"/>
      <c r="Z189" s="42"/>
      <c r="AA189" s="42"/>
      <c r="AB189" s="42"/>
      <c r="AC189" s="36"/>
      <c r="AD189" s="36"/>
      <c r="AE189" s="36"/>
      <c r="AF189" s="42"/>
      <c r="AG189" s="36"/>
    </row>
    <row r="190" spans="1:33" s="44" customFormat="1" x14ac:dyDescent="0.3">
      <c r="A190" s="35"/>
      <c r="B190" s="23"/>
      <c r="C190" s="40"/>
      <c r="D190" s="40"/>
      <c r="E190" s="41"/>
      <c r="F190" s="41"/>
      <c r="G190" s="41"/>
      <c r="H190" s="42"/>
      <c r="I190" s="42"/>
      <c r="J190" s="42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2"/>
      <c r="X190" s="42"/>
      <c r="Y190" s="42"/>
      <c r="Z190" s="42"/>
      <c r="AA190" s="42"/>
      <c r="AB190" s="42"/>
      <c r="AC190" s="36"/>
      <c r="AD190" s="36"/>
      <c r="AE190" s="36"/>
      <c r="AF190" s="42"/>
      <c r="AG190" s="36"/>
    </row>
    <row r="191" spans="1:33" s="44" customFormat="1" x14ac:dyDescent="0.3">
      <c r="A191" s="35"/>
      <c r="B191" s="23"/>
      <c r="C191" s="40"/>
      <c r="D191" s="40"/>
      <c r="E191" s="41"/>
      <c r="F191" s="41"/>
      <c r="G191" s="41"/>
      <c r="H191" s="42"/>
      <c r="I191" s="42"/>
      <c r="J191" s="42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2"/>
      <c r="X191" s="42"/>
      <c r="Y191" s="42"/>
      <c r="Z191" s="42"/>
      <c r="AA191" s="42"/>
      <c r="AB191" s="42"/>
      <c r="AC191" s="36"/>
      <c r="AD191" s="36"/>
      <c r="AE191" s="36"/>
      <c r="AF191" s="42"/>
      <c r="AG191" s="36"/>
    </row>
    <row r="192" spans="1:33" s="44" customFormat="1" x14ac:dyDescent="0.3">
      <c r="A192" s="35"/>
      <c r="B192" s="23"/>
      <c r="C192" s="40"/>
      <c r="D192" s="40"/>
      <c r="E192" s="41"/>
      <c r="F192" s="41"/>
      <c r="G192" s="41"/>
      <c r="H192" s="42"/>
      <c r="I192" s="42"/>
      <c r="J192" s="42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2"/>
      <c r="X192" s="42"/>
      <c r="Y192" s="42"/>
      <c r="Z192" s="42"/>
      <c r="AA192" s="42"/>
      <c r="AB192" s="42"/>
      <c r="AC192" s="36"/>
      <c r="AD192" s="36"/>
      <c r="AE192" s="36"/>
      <c r="AF192" s="42"/>
      <c r="AG192" s="36"/>
    </row>
    <row r="193" spans="1:33" s="44" customFormat="1" x14ac:dyDescent="0.3">
      <c r="A193" s="35"/>
      <c r="B193" s="23"/>
      <c r="C193" s="40"/>
      <c r="D193" s="40"/>
      <c r="E193" s="41"/>
      <c r="F193" s="41"/>
      <c r="G193" s="41"/>
      <c r="H193" s="42"/>
      <c r="I193" s="42"/>
      <c r="J193" s="42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2"/>
      <c r="X193" s="42"/>
      <c r="Y193" s="42"/>
      <c r="Z193" s="42"/>
      <c r="AA193" s="42"/>
      <c r="AB193" s="42"/>
      <c r="AC193" s="36"/>
      <c r="AD193" s="36"/>
      <c r="AE193" s="36"/>
      <c r="AF193" s="42"/>
      <c r="AG193" s="36"/>
    </row>
    <row r="194" spans="1:33" s="44" customFormat="1" x14ac:dyDescent="0.3">
      <c r="A194" s="35"/>
      <c r="B194" s="23"/>
      <c r="C194" s="40"/>
      <c r="D194" s="40"/>
      <c r="E194" s="41"/>
      <c r="F194" s="41"/>
      <c r="G194" s="41"/>
      <c r="H194" s="42"/>
      <c r="I194" s="42"/>
      <c r="J194" s="42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2"/>
      <c r="X194" s="42"/>
      <c r="Y194" s="42"/>
      <c r="Z194" s="42"/>
      <c r="AA194" s="42"/>
      <c r="AB194" s="42"/>
      <c r="AC194" s="36"/>
      <c r="AD194" s="36"/>
      <c r="AE194" s="36"/>
      <c r="AF194" s="42"/>
      <c r="AG194" s="36"/>
    </row>
    <row r="195" spans="1:33" s="44" customFormat="1" x14ac:dyDescent="0.3">
      <c r="A195" s="35"/>
      <c r="B195" s="23"/>
      <c r="C195" s="40"/>
      <c r="D195" s="40"/>
      <c r="E195" s="41"/>
      <c r="F195" s="41"/>
      <c r="G195" s="41"/>
      <c r="H195" s="42"/>
      <c r="I195" s="42"/>
      <c r="J195" s="42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2"/>
      <c r="X195" s="42"/>
      <c r="Y195" s="42"/>
      <c r="Z195" s="42"/>
      <c r="AA195" s="42"/>
      <c r="AB195" s="42"/>
      <c r="AC195" s="36"/>
      <c r="AD195" s="36"/>
      <c r="AE195" s="36"/>
      <c r="AF195" s="42"/>
      <c r="AG195" s="36"/>
    </row>
    <row r="196" spans="1:33" s="44" customFormat="1" x14ac:dyDescent="0.3">
      <c r="A196" s="35"/>
      <c r="B196" s="23"/>
      <c r="C196" s="40"/>
      <c r="D196" s="40"/>
      <c r="E196" s="41"/>
      <c r="F196" s="41"/>
      <c r="G196" s="41"/>
      <c r="H196" s="42"/>
      <c r="I196" s="42"/>
      <c r="J196" s="42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2"/>
      <c r="X196" s="42"/>
      <c r="Y196" s="42"/>
      <c r="Z196" s="42"/>
      <c r="AA196" s="42"/>
      <c r="AB196" s="42"/>
      <c r="AC196" s="36"/>
      <c r="AD196" s="36"/>
      <c r="AE196" s="36"/>
      <c r="AF196" s="42"/>
      <c r="AG196" s="36"/>
    </row>
    <row r="197" spans="1:33" s="44" customFormat="1" x14ac:dyDescent="0.3">
      <c r="A197" s="35"/>
      <c r="B197" s="23"/>
      <c r="C197" s="40"/>
      <c r="D197" s="40"/>
      <c r="E197" s="41"/>
      <c r="F197" s="41"/>
      <c r="G197" s="41"/>
      <c r="H197" s="42"/>
      <c r="I197" s="42"/>
      <c r="J197" s="42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2"/>
      <c r="X197" s="42"/>
      <c r="Y197" s="42"/>
      <c r="Z197" s="42"/>
      <c r="AA197" s="42"/>
      <c r="AB197" s="42"/>
      <c r="AC197" s="36"/>
      <c r="AD197" s="36"/>
      <c r="AE197" s="36"/>
      <c r="AF197" s="42"/>
      <c r="AG197" s="36"/>
    </row>
    <row r="198" spans="1:33" s="44" customFormat="1" x14ac:dyDescent="0.3">
      <c r="A198" s="35"/>
      <c r="B198" s="23"/>
      <c r="C198" s="40"/>
      <c r="D198" s="40"/>
      <c r="E198" s="41"/>
      <c r="F198" s="41"/>
      <c r="G198" s="41"/>
      <c r="H198" s="42"/>
      <c r="I198" s="42"/>
      <c r="J198" s="42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2"/>
      <c r="X198" s="42"/>
      <c r="Y198" s="42"/>
      <c r="Z198" s="42"/>
      <c r="AA198" s="42"/>
      <c r="AB198" s="42"/>
      <c r="AC198" s="36"/>
      <c r="AD198" s="36"/>
      <c r="AE198" s="36"/>
      <c r="AF198" s="42"/>
      <c r="AG198" s="36"/>
    </row>
    <row r="199" spans="1:33" s="44" customFormat="1" x14ac:dyDescent="0.3">
      <c r="A199" s="35"/>
      <c r="B199" s="23"/>
      <c r="C199" s="40"/>
      <c r="D199" s="40"/>
      <c r="E199" s="41"/>
      <c r="F199" s="41"/>
      <c r="G199" s="41"/>
      <c r="H199" s="42"/>
      <c r="I199" s="42"/>
      <c r="J199" s="42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2"/>
      <c r="X199" s="42"/>
      <c r="Y199" s="42"/>
      <c r="Z199" s="42"/>
      <c r="AA199" s="42"/>
      <c r="AB199" s="42"/>
      <c r="AC199" s="36"/>
      <c r="AD199" s="36"/>
      <c r="AE199" s="36"/>
      <c r="AF199" s="42"/>
      <c r="AG199" s="36"/>
    </row>
    <row r="200" spans="1:33" s="44" customFormat="1" x14ac:dyDescent="0.3">
      <c r="A200" s="35"/>
      <c r="B200" s="23"/>
      <c r="C200" s="40"/>
      <c r="D200" s="40"/>
      <c r="E200" s="41"/>
      <c r="F200" s="41"/>
      <c r="G200" s="41"/>
      <c r="H200" s="42"/>
      <c r="I200" s="42"/>
      <c r="J200" s="42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2"/>
      <c r="X200" s="42"/>
      <c r="Y200" s="42"/>
      <c r="Z200" s="42"/>
      <c r="AA200" s="42"/>
      <c r="AB200" s="42"/>
      <c r="AC200" s="36"/>
      <c r="AD200" s="36"/>
      <c r="AE200" s="36"/>
      <c r="AF200" s="42"/>
      <c r="AG200" s="36"/>
    </row>
    <row r="201" spans="1:33" s="44" customFormat="1" x14ac:dyDescent="0.3">
      <c r="A201" s="35"/>
      <c r="B201" s="23"/>
      <c r="C201" s="40"/>
      <c r="D201" s="40"/>
      <c r="E201" s="41"/>
      <c r="F201" s="41"/>
      <c r="G201" s="41"/>
      <c r="H201" s="42"/>
      <c r="I201" s="42"/>
      <c r="J201" s="42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2"/>
      <c r="X201" s="42"/>
      <c r="Y201" s="42"/>
      <c r="Z201" s="42"/>
      <c r="AA201" s="42"/>
      <c r="AB201" s="42"/>
      <c r="AC201" s="36"/>
      <c r="AD201" s="36"/>
      <c r="AE201" s="36"/>
      <c r="AF201" s="42"/>
      <c r="AG201" s="36"/>
    </row>
    <row r="202" spans="1:33" s="44" customFormat="1" x14ac:dyDescent="0.3">
      <c r="A202" s="35"/>
      <c r="B202" s="23"/>
      <c r="C202" s="40"/>
      <c r="D202" s="40"/>
      <c r="E202" s="41"/>
      <c r="F202" s="41"/>
      <c r="G202" s="41"/>
      <c r="H202" s="42"/>
      <c r="I202" s="42"/>
      <c r="J202" s="42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2"/>
      <c r="X202" s="42"/>
      <c r="Y202" s="42"/>
      <c r="Z202" s="42"/>
      <c r="AA202" s="42"/>
      <c r="AB202" s="42"/>
      <c r="AC202" s="36"/>
      <c r="AD202" s="36"/>
      <c r="AE202" s="36"/>
      <c r="AF202" s="42"/>
      <c r="AG202" s="36"/>
    </row>
    <row r="203" spans="1:33" s="44" customFormat="1" x14ac:dyDescent="0.3">
      <c r="A203" s="35"/>
      <c r="B203" s="23"/>
      <c r="C203" s="40"/>
      <c r="D203" s="40"/>
      <c r="E203" s="41"/>
      <c r="F203" s="41"/>
      <c r="G203" s="41"/>
      <c r="H203" s="42"/>
      <c r="I203" s="42"/>
      <c r="J203" s="42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2"/>
      <c r="X203" s="42"/>
      <c r="Y203" s="42"/>
      <c r="Z203" s="42"/>
      <c r="AA203" s="42"/>
      <c r="AB203" s="42"/>
      <c r="AC203" s="36"/>
      <c r="AD203" s="36"/>
      <c r="AE203" s="36"/>
      <c r="AF203" s="42"/>
      <c r="AG203" s="36"/>
    </row>
    <row r="204" spans="1:33" s="44" customFormat="1" x14ac:dyDescent="0.3">
      <c r="A204" s="35"/>
      <c r="B204" s="23"/>
      <c r="C204" s="40"/>
      <c r="D204" s="40"/>
      <c r="E204" s="41"/>
      <c r="F204" s="41"/>
      <c r="G204" s="41"/>
      <c r="H204" s="42"/>
      <c r="I204" s="42"/>
      <c r="J204" s="42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2"/>
      <c r="X204" s="42"/>
      <c r="Y204" s="42"/>
      <c r="Z204" s="42"/>
      <c r="AA204" s="42"/>
      <c r="AB204" s="42"/>
      <c r="AC204" s="36"/>
      <c r="AD204" s="36"/>
      <c r="AE204" s="36"/>
      <c r="AF204" s="42"/>
      <c r="AG204" s="36"/>
    </row>
    <row r="205" spans="1:33" s="44" customFormat="1" x14ac:dyDescent="0.3">
      <c r="A205" s="39"/>
      <c r="B205" s="23"/>
      <c r="C205" s="40"/>
      <c r="D205" s="40"/>
      <c r="E205" s="41"/>
      <c r="F205" s="41"/>
      <c r="G205" s="41"/>
      <c r="H205" s="42"/>
      <c r="I205" s="42"/>
      <c r="J205" s="42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2"/>
      <c r="X205" s="42"/>
      <c r="Y205" s="42"/>
      <c r="Z205" s="42"/>
      <c r="AA205" s="42"/>
      <c r="AB205" s="42"/>
      <c r="AC205" s="36"/>
      <c r="AD205" s="36"/>
      <c r="AE205" s="36"/>
      <c r="AF205" s="42"/>
      <c r="AG205" s="36"/>
    </row>
    <row r="206" spans="1:33" s="44" customFormat="1" x14ac:dyDescent="0.3">
      <c r="A206" s="39"/>
      <c r="B206" s="23"/>
      <c r="C206" s="40"/>
      <c r="D206" s="40"/>
      <c r="E206" s="41"/>
      <c r="F206" s="41"/>
      <c r="G206" s="41"/>
      <c r="H206" s="42"/>
      <c r="I206" s="42"/>
      <c r="J206" s="42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2"/>
      <c r="X206" s="42"/>
      <c r="Y206" s="42"/>
      <c r="Z206" s="42"/>
      <c r="AA206" s="42"/>
      <c r="AB206" s="42"/>
      <c r="AC206" s="36"/>
      <c r="AD206" s="36"/>
      <c r="AE206" s="36"/>
      <c r="AF206" s="42"/>
      <c r="AG206" s="36"/>
    </row>
    <row r="207" spans="1:33" s="44" customFormat="1" x14ac:dyDescent="0.3">
      <c r="A207" s="39"/>
      <c r="B207" s="23"/>
      <c r="C207" s="40"/>
      <c r="D207" s="40"/>
      <c r="E207" s="41"/>
      <c r="F207" s="41"/>
      <c r="G207" s="41"/>
      <c r="H207" s="42"/>
      <c r="I207" s="42"/>
      <c r="J207" s="42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2"/>
      <c r="X207" s="42"/>
      <c r="Y207" s="42"/>
      <c r="Z207" s="42"/>
      <c r="AA207" s="42"/>
      <c r="AB207" s="42"/>
      <c r="AC207" s="36"/>
      <c r="AD207" s="36"/>
      <c r="AE207" s="36"/>
      <c r="AF207" s="42"/>
      <c r="AG207" s="36"/>
    </row>
    <row r="208" spans="1:33" s="44" customFormat="1" x14ac:dyDescent="0.3">
      <c r="A208" s="39"/>
      <c r="B208" s="23"/>
      <c r="C208" s="40"/>
      <c r="D208" s="40"/>
      <c r="E208" s="41"/>
      <c r="F208" s="41"/>
      <c r="G208" s="41"/>
      <c r="H208" s="42"/>
      <c r="I208" s="42"/>
      <c r="J208" s="42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2"/>
      <c r="X208" s="42"/>
      <c r="Y208" s="42"/>
      <c r="Z208" s="42"/>
      <c r="AA208" s="42"/>
      <c r="AB208" s="42"/>
      <c r="AC208" s="36"/>
      <c r="AD208" s="36"/>
      <c r="AE208" s="36"/>
      <c r="AF208" s="42"/>
      <c r="AG208" s="36"/>
    </row>
    <row r="209" spans="1:33" s="44" customFormat="1" x14ac:dyDescent="0.3">
      <c r="A209" s="39"/>
      <c r="B209" s="23"/>
      <c r="C209" s="40"/>
      <c r="D209" s="40"/>
      <c r="E209" s="41"/>
      <c r="F209" s="41"/>
      <c r="G209" s="41"/>
      <c r="H209" s="42"/>
      <c r="I209" s="42"/>
      <c r="J209" s="42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2"/>
      <c r="X209" s="42"/>
      <c r="Y209" s="42"/>
      <c r="Z209" s="42"/>
      <c r="AA209" s="42"/>
      <c r="AB209" s="42"/>
      <c r="AC209" s="36"/>
      <c r="AD209" s="36"/>
      <c r="AE209" s="36"/>
      <c r="AF209" s="42"/>
      <c r="AG209" s="36"/>
    </row>
    <row r="210" spans="1:33" s="44" customFormat="1" x14ac:dyDescent="0.3">
      <c r="A210" s="39"/>
      <c r="B210" s="23"/>
      <c r="C210" s="40"/>
      <c r="D210" s="40"/>
      <c r="E210" s="41"/>
      <c r="F210" s="41"/>
      <c r="G210" s="41"/>
      <c r="H210" s="42"/>
      <c r="I210" s="42"/>
      <c r="J210" s="42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2"/>
      <c r="X210" s="42"/>
      <c r="Y210" s="42"/>
      <c r="Z210" s="42"/>
      <c r="AA210" s="42"/>
      <c r="AB210" s="42"/>
      <c r="AC210" s="36"/>
      <c r="AD210" s="36"/>
      <c r="AE210" s="36"/>
      <c r="AF210" s="42"/>
      <c r="AG210" s="36"/>
    </row>
    <row r="211" spans="1:33" s="44" customFormat="1" x14ac:dyDescent="0.3">
      <c r="A211" s="39"/>
      <c r="B211" s="23"/>
      <c r="C211" s="40"/>
      <c r="D211" s="40"/>
      <c r="E211" s="41"/>
      <c r="F211" s="41"/>
      <c r="G211" s="41"/>
      <c r="H211" s="42"/>
      <c r="I211" s="42"/>
      <c r="J211" s="42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2"/>
      <c r="X211" s="42"/>
      <c r="Y211" s="42"/>
      <c r="Z211" s="42"/>
      <c r="AA211" s="42"/>
      <c r="AB211" s="42"/>
      <c r="AC211" s="36"/>
      <c r="AD211" s="36"/>
      <c r="AE211" s="36"/>
      <c r="AF211" s="42"/>
      <c r="AG211" s="36"/>
    </row>
    <row r="212" spans="1:33" s="44" customFormat="1" x14ac:dyDescent="0.3">
      <c r="A212" s="39"/>
      <c r="B212" s="23"/>
      <c r="C212" s="40"/>
      <c r="D212" s="40"/>
      <c r="E212" s="41"/>
      <c r="F212" s="41"/>
      <c r="G212" s="41"/>
      <c r="H212" s="42"/>
      <c r="I212" s="42"/>
      <c r="J212" s="42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2"/>
      <c r="X212" s="42"/>
      <c r="Y212" s="42"/>
      <c r="Z212" s="42"/>
      <c r="AA212" s="42"/>
      <c r="AB212" s="42"/>
      <c r="AC212" s="36"/>
      <c r="AD212" s="36"/>
      <c r="AE212" s="36"/>
      <c r="AF212" s="42"/>
      <c r="AG212" s="36"/>
    </row>
    <row r="213" spans="1:33" s="44" customFormat="1" x14ac:dyDescent="0.3">
      <c r="A213" s="39"/>
      <c r="B213" s="23"/>
      <c r="C213" s="40"/>
      <c r="D213" s="40"/>
      <c r="E213" s="41"/>
      <c r="F213" s="41"/>
      <c r="G213" s="41"/>
      <c r="H213" s="42"/>
      <c r="I213" s="42"/>
      <c r="J213" s="42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2"/>
      <c r="X213" s="42"/>
      <c r="Y213" s="42"/>
      <c r="Z213" s="42"/>
      <c r="AA213" s="42"/>
      <c r="AB213" s="42"/>
      <c r="AC213" s="36"/>
      <c r="AD213" s="36"/>
      <c r="AE213" s="36"/>
      <c r="AF213" s="42"/>
      <c r="AG213" s="36"/>
    </row>
    <row r="214" spans="1:33" s="44" customFormat="1" x14ac:dyDescent="0.3">
      <c r="A214" s="39"/>
      <c r="B214" s="23"/>
      <c r="C214" s="40"/>
      <c r="D214" s="40"/>
      <c r="E214" s="41"/>
      <c r="F214" s="41"/>
      <c r="G214" s="41"/>
      <c r="H214" s="42"/>
      <c r="I214" s="42"/>
      <c r="J214" s="42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2"/>
      <c r="X214" s="42"/>
      <c r="Y214" s="42"/>
      <c r="Z214" s="42"/>
      <c r="AA214" s="42"/>
      <c r="AB214" s="42"/>
      <c r="AC214" s="36"/>
      <c r="AD214" s="36"/>
      <c r="AE214" s="36"/>
      <c r="AF214" s="42"/>
      <c r="AG214" s="36"/>
    </row>
    <row r="215" spans="1:33" s="44" customFormat="1" x14ac:dyDescent="0.3">
      <c r="A215" s="39"/>
      <c r="B215" s="23"/>
      <c r="C215" s="40"/>
      <c r="D215" s="40"/>
      <c r="E215" s="41"/>
      <c r="F215" s="41"/>
      <c r="G215" s="41"/>
      <c r="H215" s="42"/>
      <c r="I215" s="42"/>
      <c r="J215" s="42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2"/>
      <c r="X215" s="42"/>
      <c r="Y215" s="42"/>
      <c r="Z215" s="42"/>
      <c r="AA215" s="42"/>
      <c r="AB215" s="42"/>
      <c r="AC215" s="36"/>
      <c r="AD215" s="36"/>
      <c r="AE215" s="36"/>
      <c r="AF215" s="42"/>
      <c r="AG215" s="36"/>
    </row>
    <row r="216" spans="1:33" s="44" customFormat="1" x14ac:dyDescent="0.3">
      <c r="A216" s="39"/>
      <c r="B216" s="23"/>
      <c r="C216" s="40"/>
      <c r="D216" s="40"/>
      <c r="E216" s="41"/>
      <c r="F216" s="41"/>
      <c r="G216" s="41"/>
      <c r="H216" s="42"/>
      <c r="I216" s="42"/>
      <c r="J216" s="42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2"/>
      <c r="X216" s="42"/>
      <c r="Y216" s="42"/>
      <c r="Z216" s="42"/>
      <c r="AA216" s="42"/>
      <c r="AB216" s="42"/>
      <c r="AC216" s="36"/>
      <c r="AD216" s="36"/>
      <c r="AE216" s="36"/>
      <c r="AF216" s="42"/>
      <c r="AG216" s="36"/>
    </row>
    <row r="217" spans="1:33" s="44" customFormat="1" x14ac:dyDescent="0.3">
      <c r="A217" s="39"/>
      <c r="B217" s="23"/>
      <c r="C217" s="40"/>
      <c r="D217" s="40"/>
      <c r="E217" s="41"/>
      <c r="F217" s="41"/>
      <c r="G217" s="41"/>
      <c r="H217" s="42"/>
      <c r="I217" s="42"/>
      <c r="J217" s="42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2"/>
      <c r="X217" s="42"/>
      <c r="Y217" s="42"/>
      <c r="Z217" s="42"/>
      <c r="AA217" s="42"/>
      <c r="AB217" s="42"/>
      <c r="AC217" s="36"/>
      <c r="AD217" s="36"/>
      <c r="AE217" s="36"/>
      <c r="AF217" s="42"/>
      <c r="AG217" s="36"/>
    </row>
    <row r="218" spans="1:33" s="44" customFormat="1" x14ac:dyDescent="0.3">
      <c r="A218" s="39"/>
      <c r="B218" s="23"/>
      <c r="C218" s="40"/>
      <c r="D218" s="40"/>
      <c r="E218" s="41"/>
      <c r="F218" s="41"/>
      <c r="G218" s="41"/>
      <c r="H218" s="42"/>
      <c r="I218" s="42"/>
      <c r="J218" s="42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2"/>
      <c r="X218" s="42"/>
      <c r="Y218" s="42"/>
      <c r="Z218" s="42"/>
      <c r="AA218" s="42"/>
      <c r="AB218" s="42"/>
      <c r="AC218" s="36"/>
      <c r="AD218" s="36"/>
      <c r="AE218" s="36"/>
      <c r="AF218" s="42"/>
      <c r="AG218" s="36"/>
    </row>
    <row r="219" spans="1:33" s="44" customFormat="1" x14ac:dyDescent="0.3">
      <c r="A219" s="39"/>
      <c r="B219" s="23"/>
      <c r="C219" s="40"/>
      <c r="D219" s="40"/>
      <c r="E219" s="41"/>
      <c r="F219" s="41"/>
      <c r="G219" s="41"/>
      <c r="H219" s="42"/>
      <c r="I219" s="42"/>
      <c r="J219" s="42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2"/>
      <c r="X219" s="42"/>
      <c r="Y219" s="42"/>
      <c r="Z219" s="42"/>
      <c r="AA219" s="42"/>
      <c r="AB219" s="42"/>
      <c r="AC219" s="36"/>
      <c r="AD219" s="36"/>
      <c r="AE219" s="36"/>
      <c r="AF219" s="42"/>
      <c r="AG219" s="36"/>
    </row>
    <row r="220" spans="1:33" s="44" customFormat="1" x14ac:dyDescent="0.3">
      <c r="A220" s="39"/>
      <c r="B220" s="23"/>
      <c r="C220" s="40"/>
      <c r="D220" s="40"/>
      <c r="E220" s="41"/>
      <c r="F220" s="41"/>
      <c r="G220" s="41"/>
      <c r="H220" s="42"/>
      <c r="I220" s="42"/>
      <c r="J220" s="42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2"/>
      <c r="X220" s="42"/>
      <c r="Y220" s="42"/>
      <c r="Z220" s="42"/>
      <c r="AA220" s="42"/>
      <c r="AB220" s="42"/>
      <c r="AC220" s="36"/>
      <c r="AD220" s="36"/>
      <c r="AE220" s="36"/>
      <c r="AF220" s="42"/>
      <c r="AG220" s="36"/>
    </row>
    <row r="221" spans="1:33" s="44" customFormat="1" x14ac:dyDescent="0.3">
      <c r="A221" s="39"/>
      <c r="B221" s="23"/>
      <c r="C221" s="40"/>
      <c r="D221" s="40"/>
      <c r="E221" s="41"/>
      <c r="F221" s="41"/>
      <c r="G221" s="41"/>
      <c r="H221" s="42"/>
      <c r="I221" s="42"/>
      <c r="J221" s="42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2"/>
      <c r="X221" s="42"/>
      <c r="Y221" s="42"/>
      <c r="Z221" s="42"/>
      <c r="AA221" s="42"/>
      <c r="AB221" s="42"/>
      <c r="AC221" s="36"/>
      <c r="AD221" s="36"/>
      <c r="AE221" s="36"/>
      <c r="AF221" s="42"/>
      <c r="AG221" s="36"/>
    </row>
    <row r="222" spans="1:33" s="44" customFormat="1" x14ac:dyDescent="0.3">
      <c r="A222" s="39"/>
      <c r="B222" s="23"/>
      <c r="C222" s="40"/>
      <c r="D222" s="40"/>
      <c r="E222" s="41"/>
      <c r="F222" s="41"/>
      <c r="G222" s="41"/>
      <c r="H222" s="42"/>
      <c r="I222" s="42"/>
      <c r="J222" s="42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2"/>
      <c r="X222" s="42"/>
      <c r="Y222" s="42"/>
      <c r="Z222" s="42"/>
      <c r="AA222" s="42"/>
      <c r="AB222" s="42"/>
      <c r="AC222" s="36"/>
      <c r="AD222" s="36"/>
      <c r="AE222" s="36"/>
      <c r="AF222" s="42"/>
      <c r="AG222" s="36"/>
    </row>
    <row r="223" spans="1:33" s="44" customFormat="1" x14ac:dyDescent="0.3">
      <c r="A223" s="39"/>
      <c r="B223" s="23"/>
      <c r="C223" s="40"/>
      <c r="D223" s="40"/>
      <c r="E223" s="41"/>
      <c r="F223" s="41"/>
      <c r="G223" s="41"/>
      <c r="H223" s="42"/>
      <c r="I223" s="42"/>
      <c r="J223" s="42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2"/>
      <c r="X223" s="42"/>
      <c r="Y223" s="42"/>
      <c r="Z223" s="42"/>
      <c r="AA223" s="42"/>
      <c r="AB223" s="42"/>
      <c r="AC223" s="36"/>
      <c r="AD223" s="36"/>
      <c r="AE223" s="36"/>
      <c r="AF223" s="42"/>
      <c r="AG223" s="36"/>
    </row>
    <row r="224" spans="1:33" s="44" customFormat="1" x14ac:dyDescent="0.3">
      <c r="A224" s="39"/>
      <c r="B224" s="23"/>
      <c r="C224" s="40"/>
      <c r="D224" s="40"/>
      <c r="E224" s="41"/>
      <c r="F224" s="41"/>
      <c r="G224" s="41"/>
      <c r="H224" s="42"/>
      <c r="I224" s="42"/>
      <c r="J224" s="42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2"/>
      <c r="X224" s="42"/>
      <c r="Y224" s="42"/>
      <c r="Z224" s="42"/>
      <c r="AA224" s="42"/>
      <c r="AB224" s="42"/>
      <c r="AC224" s="36"/>
      <c r="AD224" s="36"/>
      <c r="AE224" s="36"/>
      <c r="AF224" s="42"/>
      <c r="AG224" s="36"/>
    </row>
    <row r="225" spans="1:33" s="44" customFormat="1" x14ac:dyDescent="0.3">
      <c r="A225" s="39"/>
      <c r="B225" s="23"/>
      <c r="C225" s="40"/>
      <c r="D225" s="40"/>
      <c r="E225" s="41"/>
      <c r="F225" s="41"/>
      <c r="G225" s="41"/>
      <c r="H225" s="42"/>
      <c r="I225" s="42"/>
      <c r="J225" s="42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2"/>
      <c r="X225" s="42"/>
      <c r="Y225" s="42"/>
      <c r="Z225" s="42"/>
      <c r="AA225" s="42"/>
      <c r="AB225" s="42"/>
      <c r="AC225" s="36"/>
      <c r="AD225" s="36"/>
      <c r="AE225" s="36"/>
      <c r="AF225" s="42"/>
      <c r="AG225" s="36"/>
    </row>
    <row r="226" spans="1:33" s="44" customFormat="1" x14ac:dyDescent="0.3">
      <c r="A226" s="39"/>
      <c r="B226" s="23"/>
      <c r="C226" s="40"/>
      <c r="D226" s="40"/>
      <c r="E226" s="41"/>
      <c r="F226" s="41"/>
      <c r="G226" s="41"/>
      <c r="H226" s="42"/>
      <c r="I226" s="42"/>
      <c r="J226" s="42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2"/>
      <c r="X226" s="42"/>
      <c r="Y226" s="42"/>
      <c r="Z226" s="42"/>
      <c r="AA226" s="42"/>
      <c r="AB226" s="42"/>
      <c r="AC226" s="36"/>
      <c r="AD226" s="36"/>
      <c r="AE226" s="36"/>
      <c r="AF226" s="42"/>
      <c r="AG226" s="36"/>
    </row>
    <row r="227" spans="1:33" s="44" customFormat="1" x14ac:dyDescent="0.3">
      <c r="A227" s="39"/>
      <c r="B227" s="23"/>
      <c r="C227" s="40"/>
      <c r="D227" s="40"/>
      <c r="E227" s="41"/>
      <c r="F227" s="41"/>
      <c r="G227" s="41"/>
      <c r="H227" s="42"/>
      <c r="I227" s="42"/>
      <c r="J227" s="42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2"/>
      <c r="X227" s="42"/>
      <c r="Y227" s="42"/>
      <c r="Z227" s="42"/>
      <c r="AA227" s="42"/>
      <c r="AB227" s="42"/>
      <c r="AC227" s="36"/>
      <c r="AD227" s="36"/>
      <c r="AE227" s="36"/>
      <c r="AF227" s="42"/>
      <c r="AG227" s="36"/>
    </row>
    <row r="228" spans="1:33" s="44" customFormat="1" x14ac:dyDescent="0.3">
      <c r="A228" s="39"/>
      <c r="B228" s="23"/>
      <c r="C228" s="40"/>
      <c r="D228" s="40"/>
      <c r="E228" s="41"/>
      <c r="F228" s="41"/>
      <c r="G228" s="41"/>
      <c r="H228" s="42"/>
      <c r="I228" s="42"/>
      <c r="J228" s="42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2"/>
      <c r="X228" s="42"/>
      <c r="Y228" s="42"/>
      <c r="Z228" s="42"/>
      <c r="AA228" s="42"/>
      <c r="AB228" s="42"/>
      <c r="AC228" s="36"/>
      <c r="AD228" s="36"/>
      <c r="AE228" s="36"/>
      <c r="AF228" s="42"/>
      <c r="AG228" s="36"/>
    </row>
    <row r="229" spans="1:33" s="44" customFormat="1" x14ac:dyDescent="0.3">
      <c r="A229" s="39"/>
      <c r="B229" s="23"/>
      <c r="C229" s="40"/>
      <c r="D229" s="40"/>
      <c r="E229" s="41"/>
      <c r="F229" s="41"/>
      <c r="G229" s="41"/>
      <c r="H229" s="42"/>
      <c r="I229" s="42"/>
      <c r="J229" s="42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2"/>
      <c r="X229" s="42"/>
      <c r="Y229" s="42"/>
      <c r="Z229" s="42"/>
      <c r="AA229" s="42"/>
      <c r="AB229" s="42"/>
      <c r="AC229" s="36"/>
      <c r="AD229" s="36"/>
      <c r="AE229" s="36"/>
      <c r="AF229" s="42"/>
      <c r="AG229" s="36"/>
    </row>
    <row r="230" spans="1:33" s="44" customFormat="1" x14ac:dyDescent="0.3">
      <c r="A230" s="39"/>
      <c r="B230" s="23"/>
      <c r="C230" s="40"/>
      <c r="D230" s="40"/>
      <c r="E230" s="41"/>
      <c r="F230" s="41"/>
      <c r="G230" s="41"/>
      <c r="H230" s="42"/>
      <c r="I230" s="42"/>
      <c r="J230" s="42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2"/>
      <c r="X230" s="42"/>
      <c r="Y230" s="42"/>
      <c r="Z230" s="42"/>
      <c r="AA230" s="42"/>
      <c r="AB230" s="42"/>
      <c r="AC230" s="36"/>
      <c r="AD230" s="36"/>
      <c r="AE230" s="36"/>
      <c r="AF230" s="42"/>
      <c r="AG230" s="36"/>
    </row>
    <row r="231" spans="1:33" s="44" customFormat="1" x14ac:dyDescent="0.3">
      <c r="A231" s="39"/>
      <c r="B231" s="23"/>
      <c r="C231" s="40"/>
      <c r="D231" s="40"/>
      <c r="E231" s="41"/>
      <c r="F231" s="41"/>
      <c r="G231" s="41"/>
      <c r="H231" s="42"/>
      <c r="I231" s="42"/>
      <c r="J231" s="42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2"/>
      <c r="X231" s="42"/>
      <c r="Y231" s="42"/>
      <c r="Z231" s="42"/>
      <c r="AA231" s="42"/>
      <c r="AB231" s="42"/>
      <c r="AC231" s="36"/>
      <c r="AD231" s="36"/>
      <c r="AE231" s="36"/>
      <c r="AF231" s="42"/>
      <c r="AG231" s="36"/>
    </row>
    <row r="232" spans="1:33" s="44" customFormat="1" x14ac:dyDescent="0.3">
      <c r="A232" s="39"/>
      <c r="B232" s="23"/>
      <c r="C232" s="40"/>
      <c r="D232" s="40"/>
      <c r="E232" s="41"/>
      <c r="F232" s="41"/>
      <c r="G232" s="41"/>
      <c r="H232" s="42"/>
      <c r="I232" s="42"/>
      <c r="J232" s="42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2"/>
      <c r="X232" s="42"/>
      <c r="Y232" s="42"/>
      <c r="Z232" s="42"/>
      <c r="AA232" s="42"/>
      <c r="AB232" s="42"/>
      <c r="AC232" s="36"/>
      <c r="AD232" s="36"/>
      <c r="AE232" s="36"/>
      <c r="AF232" s="42"/>
      <c r="AG232" s="36"/>
    </row>
    <row r="233" spans="1:33" s="44" customFormat="1" x14ac:dyDescent="0.3">
      <c r="A233" s="39"/>
      <c r="B233" s="23"/>
      <c r="C233" s="40"/>
      <c r="D233" s="40"/>
      <c r="E233" s="41"/>
      <c r="F233" s="41"/>
      <c r="G233" s="41"/>
      <c r="H233" s="42"/>
      <c r="I233" s="42"/>
      <c r="J233" s="42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2"/>
      <c r="X233" s="42"/>
      <c r="Y233" s="42"/>
      <c r="Z233" s="42"/>
      <c r="AA233" s="42"/>
      <c r="AB233" s="42"/>
      <c r="AC233" s="36"/>
      <c r="AD233" s="36"/>
      <c r="AE233" s="36"/>
      <c r="AF233" s="42"/>
      <c r="AG233" s="36"/>
    </row>
    <row r="234" spans="1:33" s="44" customFormat="1" x14ac:dyDescent="0.3">
      <c r="A234" s="39"/>
      <c r="B234" s="23"/>
      <c r="C234" s="40"/>
      <c r="D234" s="40"/>
      <c r="E234" s="41"/>
      <c r="F234" s="41"/>
      <c r="G234" s="41"/>
      <c r="H234" s="42"/>
      <c r="I234" s="42"/>
      <c r="J234" s="42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2"/>
      <c r="X234" s="42"/>
      <c r="Y234" s="42"/>
      <c r="Z234" s="42"/>
      <c r="AA234" s="42"/>
      <c r="AB234" s="42"/>
      <c r="AC234" s="36"/>
      <c r="AD234" s="36"/>
      <c r="AE234" s="36"/>
      <c r="AF234" s="42"/>
      <c r="AG234" s="36"/>
    </row>
    <row r="235" spans="1:33" s="44" customFormat="1" x14ac:dyDescent="0.3">
      <c r="A235" s="39"/>
      <c r="B235" s="23"/>
      <c r="C235" s="40"/>
      <c r="D235" s="40"/>
      <c r="E235" s="41"/>
      <c r="F235" s="41"/>
      <c r="G235" s="41"/>
      <c r="H235" s="42"/>
      <c r="I235" s="42"/>
      <c r="J235" s="42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2"/>
      <c r="X235" s="42"/>
      <c r="Y235" s="42"/>
      <c r="Z235" s="42"/>
      <c r="AA235" s="42"/>
      <c r="AB235" s="42"/>
      <c r="AC235" s="36"/>
      <c r="AD235" s="36"/>
      <c r="AE235" s="36"/>
      <c r="AF235" s="42"/>
      <c r="AG235" s="36"/>
    </row>
    <row r="236" spans="1:33" s="44" customFormat="1" x14ac:dyDescent="0.3">
      <c r="A236" s="39"/>
      <c r="B236" s="23"/>
      <c r="C236" s="40"/>
      <c r="D236" s="40"/>
      <c r="E236" s="41"/>
      <c r="F236" s="41"/>
      <c r="G236" s="41"/>
      <c r="H236" s="42"/>
      <c r="I236" s="42"/>
      <c r="J236" s="42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2"/>
      <c r="X236" s="42"/>
      <c r="Y236" s="42"/>
      <c r="Z236" s="42"/>
      <c r="AA236" s="42"/>
      <c r="AB236" s="42"/>
      <c r="AC236" s="36"/>
      <c r="AD236" s="36"/>
      <c r="AE236" s="36"/>
      <c r="AF236" s="42"/>
      <c r="AG236" s="36"/>
    </row>
    <row r="237" spans="1:33" s="44" customFormat="1" x14ac:dyDescent="0.3">
      <c r="A237" s="39"/>
      <c r="B237" s="23"/>
      <c r="C237" s="40"/>
      <c r="D237" s="40"/>
      <c r="E237" s="41"/>
      <c r="F237" s="41"/>
      <c r="G237" s="41"/>
      <c r="H237" s="42"/>
      <c r="I237" s="42"/>
      <c r="J237" s="42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2"/>
      <c r="X237" s="42"/>
      <c r="Y237" s="42"/>
      <c r="Z237" s="42"/>
      <c r="AA237" s="42"/>
      <c r="AB237" s="42"/>
      <c r="AC237" s="36"/>
      <c r="AD237" s="36"/>
      <c r="AE237" s="36"/>
      <c r="AF237" s="42"/>
      <c r="AG237" s="36"/>
    </row>
    <row r="238" spans="1:33" s="44" customFormat="1" x14ac:dyDescent="0.3">
      <c r="A238" s="39"/>
      <c r="B238" s="23"/>
      <c r="C238" s="40"/>
      <c r="D238" s="40"/>
      <c r="E238" s="41"/>
      <c r="F238" s="41"/>
      <c r="G238" s="41"/>
      <c r="H238" s="42"/>
      <c r="I238" s="42"/>
      <c r="J238" s="42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2"/>
      <c r="X238" s="42"/>
      <c r="Y238" s="42"/>
      <c r="Z238" s="42"/>
      <c r="AA238" s="42"/>
      <c r="AB238" s="42"/>
      <c r="AC238" s="36"/>
      <c r="AD238" s="36"/>
      <c r="AE238" s="36"/>
      <c r="AF238" s="42"/>
      <c r="AG238" s="36"/>
    </row>
    <row r="239" spans="1:33" s="44" customFormat="1" x14ac:dyDescent="0.3">
      <c r="A239" s="39"/>
      <c r="B239" s="23"/>
      <c r="C239" s="40"/>
      <c r="D239" s="40"/>
      <c r="E239" s="41"/>
      <c r="F239" s="41"/>
      <c r="G239" s="41"/>
      <c r="H239" s="42"/>
      <c r="I239" s="42"/>
      <c r="J239" s="42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2"/>
      <c r="X239" s="42"/>
      <c r="Y239" s="42"/>
      <c r="Z239" s="42"/>
      <c r="AA239" s="42"/>
      <c r="AB239" s="42"/>
      <c r="AC239" s="36"/>
      <c r="AD239" s="36"/>
      <c r="AE239" s="36"/>
      <c r="AF239" s="42"/>
      <c r="AG239" s="36"/>
    </row>
    <row r="240" spans="1:33" s="44" customFormat="1" x14ac:dyDescent="0.3">
      <c r="A240" s="39"/>
      <c r="B240" s="23"/>
      <c r="C240" s="40"/>
      <c r="D240" s="40"/>
      <c r="E240" s="41"/>
      <c r="F240" s="41"/>
      <c r="G240" s="41"/>
      <c r="H240" s="42"/>
      <c r="I240" s="42"/>
      <c r="J240" s="42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2"/>
      <c r="X240" s="42"/>
      <c r="Y240" s="42"/>
      <c r="Z240" s="42"/>
      <c r="AA240" s="42"/>
      <c r="AB240" s="42"/>
      <c r="AC240" s="36"/>
      <c r="AD240" s="36"/>
      <c r="AE240" s="36"/>
      <c r="AF240" s="42"/>
      <c r="AG240" s="36"/>
    </row>
    <row r="241" spans="1:33" s="44" customFormat="1" x14ac:dyDescent="0.3">
      <c r="A241" s="39"/>
      <c r="B241" s="23"/>
      <c r="C241" s="40"/>
      <c r="D241" s="40"/>
      <c r="E241" s="41"/>
      <c r="F241" s="41"/>
      <c r="G241" s="41"/>
      <c r="H241" s="42"/>
      <c r="I241" s="42"/>
      <c r="J241" s="42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2"/>
      <c r="X241" s="42"/>
      <c r="Y241" s="42"/>
      <c r="Z241" s="42"/>
      <c r="AA241" s="42"/>
      <c r="AB241" s="42"/>
      <c r="AC241" s="36"/>
      <c r="AD241" s="36"/>
      <c r="AE241" s="36"/>
      <c r="AF241" s="42"/>
      <c r="AG241" s="36"/>
    </row>
    <row r="242" spans="1:33" s="44" customFormat="1" x14ac:dyDescent="0.3">
      <c r="A242" s="39"/>
      <c r="B242" s="23"/>
      <c r="C242" s="40"/>
      <c r="D242" s="40"/>
      <c r="E242" s="41"/>
      <c r="F242" s="41"/>
      <c r="G242" s="41"/>
      <c r="H242" s="42"/>
      <c r="I242" s="42"/>
      <c r="J242" s="42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2"/>
      <c r="X242" s="42"/>
      <c r="Y242" s="42"/>
      <c r="Z242" s="42"/>
      <c r="AA242" s="42"/>
      <c r="AB242" s="42"/>
      <c r="AC242" s="36"/>
      <c r="AD242" s="36"/>
      <c r="AE242" s="36"/>
      <c r="AF242" s="42"/>
      <c r="AG242" s="36"/>
    </row>
    <row r="243" spans="1:33" s="44" customFormat="1" x14ac:dyDescent="0.3">
      <c r="A243" s="39"/>
      <c r="B243" s="23"/>
      <c r="C243" s="40"/>
      <c r="D243" s="40"/>
      <c r="E243" s="41"/>
      <c r="F243" s="41"/>
      <c r="G243" s="41"/>
      <c r="H243" s="42"/>
      <c r="I243" s="42"/>
      <c r="J243" s="42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2"/>
      <c r="X243" s="42"/>
      <c r="Y243" s="42"/>
      <c r="Z243" s="42"/>
      <c r="AA243" s="42"/>
      <c r="AB243" s="42"/>
      <c r="AC243" s="36"/>
      <c r="AD243" s="36"/>
      <c r="AE243" s="36"/>
      <c r="AF243" s="42"/>
      <c r="AG243" s="36"/>
    </row>
    <row r="244" spans="1:33" s="44" customFormat="1" x14ac:dyDescent="0.3">
      <c r="A244" s="39"/>
      <c r="B244" s="23"/>
      <c r="C244" s="40"/>
      <c r="D244" s="40"/>
      <c r="E244" s="41"/>
      <c r="F244" s="41"/>
      <c r="G244" s="41"/>
      <c r="H244" s="42"/>
      <c r="I244" s="42"/>
      <c r="J244" s="42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2"/>
      <c r="X244" s="42"/>
      <c r="Y244" s="42"/>
      <c r="Z244" s="42"/>
      <c r="AA244" s="42"/>
      <c r="AB244" s="42"/>
      <c r="AC244" s="36"/>
      <c r="AD244" s="36"/>
      <c r="AE244" s="36"/>
      <c r="AF244" s="42"/>
      <c r="AG244" s="36"/>
    </row>
    <row r="245" spans="1:33" s="44" customFormat="1" x14ac:dyDescent="0.3">
      <c r="A245" s="39"/>
      <c r="B245" s="23"/>
      <c r="C245" s="40"/>
      <c r="D245" s="40"/>
      <c r="E245" s="41"/>
      <c r="F245" s="41"/>
      <c r="G245" s="41"/>
      <c r="H245" s="42"/>
      <c r="I245" s="42"/>
      <c r="J245" s="42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2"/>
      <c r="X245" s="42"/>
      <c r="Y245" s="42"/>
      <c r="Z245" s="42"/>
      <c r="AA245" s="42"/>
      <c r="AB245" s="42"/>
      <c r="AC245" s="36"/>
      <c r="AD245" s="36"/>
      <c r="AE245" s="36"/>
      <c r="AF245" s="42"/>
      <c r="AG245" s="36"/>
    </row>
    <row r="246" spans="1:33" s="44" customFormat="1" x14ac:dyDescent="0.3">
      <c r="A246" s="39"/>
      <c r="B246" s="23"/>
      <c r="C246" s="40"/>
      <c r="D246" s="40"/>
      <c r="E246" s="41"/>
      <c r="F246" s="41"/>
      <c r="G246" s="41"/>
      <c r="H246" s="42"/>
      <c r="I246" s="42"/>
      <c r="J246" s="42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2"/>
      <c r="X246" s="42"/>
      <c r="Y246" s="42"/>
      <c r="Z246" s="42"/>
      <c r="AA246" s="42"/>
      <c r="AB246" s="42"/>
      <c r="AC246" s="36"/>
      <c r="AD246" s="36"/>
      <c r="AE246" s="36"/>
      <c r="AF246" s="42"/>
      <c r="AG246" s="36"/>
    </row>
    <row r="247" spans="1:33" s="44" customFormat="1" x14ac:dyDescent="0.3">
      <c r="A247" s="39"/>
      <c r="B247" s="23"/>
      <c r="C247" s="40"/>
      <c r="D247" s="40"/>
      <c r="E247" s="41"/>
      <c r="F247" s="41"/>
      <c r="G247" s="41"/>
      <c r="H247" s="42"/>
      <c r="I247" s="42"/>
      <c r="J247" s="42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2"/>
      <c r="X247" s="42"/>
      <c r="Y247" s="42"/>
      <c r="Z247" s="42"/>
      <c r="AA247" s="42"/>
      <c r="AB247" s="42"/>
      <c r="AC247" s="36"/>
      <c r="AD247" s="36"/>
      <c r="AE247" s="36"/>
      <c r="AF247" s="42"/>
      <c r="AG247" s="36"/>
    </row>
    <row r="248" spans="1:33" s="44" customFormat="1" x14ac:dyDescent="0.3">
      <c r="A248" s="39"/>
      <c r="B248" s="23"/>
      <c r="C248" s="40"/>
      <c r="D248" s="40"/>
      <c r="E248" s="41"/>
      <c r="F248" s="41"/>
      <c r="G248" s="41"/>
      <c r="H248" s="42"/>
      <c r="I248" s="42"/>
      <c r="J248" s="42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2"/>
      <c r="X248" s="42"/>
      <c r="Y248" s="42"/>
      <c r="Z248" s="42"/>
      <c r="AA248" s="42"/>
      <c r="AB248" s="42"/>
      <c r="AC248" s="36"/>
      <c r="AD248" s="36"/>
      <c r="AE248" s="36"/>
      <c r="AF248" s="42"/>
      <c r="AG248" s="36"/>
    </row>
    <row r="249" spans="1:33" s="44" customFormat="1" x14ac:dyDescent="0.3">
      <c r="A249" s="39"/>
      <c r="B249" s="23"/>
      <c r="C249" s="40"/>
      <c r="D249" s="40"/>
      <c r="E249" s="41"/>
      <c r="F249" s="41"/>
      <c r="G249" s="41"/>
      <c r="H249" s="42"/>
      <c r="I249" s="42"/>
      <c r="J249" s="42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2"/>
      <c r="X249" s="42"/>
      <c r="Y249" s="42"/>
      <c r="Z249" s="42"/>
      <c r="AA249" s="42"/>
      <c r="AB249" s="42"/>
      <c r="AC249" s="36"/>
      <c r="AD249" s="36"/>
      <c r="AE249" s="36"/>
      <c r="AF249" s="42"/>
      <c r="AG249" s="36"/>
    </row>
    <row r="250" spans="1:33" s="44" customFormat="1" x14ac:dyDescent="0.3">
      <c r="A250" s="39"/>
      <c r="B250" s="23"/>
      <c r="C250" s="40"/>
      <c r="D250" s="40"/>
      <c r="E250" s="41"/>
      <c r="F250" s="41"/>
      <c r="G250" s="41"/>
      <c r="H250" s="42"/>
      <c r="I250" s="42"/>
      <c r="J250" s="42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2"/>
      <c r="X250" s="42"/>
      <c r="Y250" s="42"/>
      <c r="Z250" s="42"/>
      <c r="AA250" s="42"/>
      <c r="AB250" s="42"/>
      <c r="AC250" s="36"/>
      <c r="AD250" s="36"/>
      <c r="AE250" s="36"/>
      <c r="AF250" s="42"/>
      <c r="AG250" s="36"/>
    </row>
    <row r="251" spans="1:33" s="44" customFormat="1" x14ac:dyDescent="0.3">
      <c r="A251" s="39"/>
      <c r="B251" s="23"/>
      <c r="C251" s="40"/>
      <c r="D251" s="40"/>
      <c r="E251" s="41"/>
      <c r="F251" s="41"/>
      <c r="G251" s="41"/>
      <c r="H251" s="42"/>
      <c r="I251" s="42"/>
      <c r="J251" s="42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2"/>
      <c r="X251" s="42"/>
      <c r="Y251" s="42"/>
      <c r="Z251" s="42"/>
      <c r="AA251" s="42"/>
      <c r="AB251" s="42"/>
      <c r="AC251" s="36"/>
      <c r="AD251" s="36"/>
      <c r="AE251" s="36"/>
      <c r="AF251" s="42"/>
      <c r="AG251" s="36"/>
    </row>
    <row r="252" spans="1:33" s="44" customFormat="1" x14ac:dyDescent="0.3">
      <c r="A252" s="39"/>
      <c r="B252" s="23"/>
      <c r="C252" s="40"/>
      <c r="D252" s="40"/>
      <c r="E252" s="41"/>
      <c r="F252" s="41"/>
      <c r="G252" s="41"/>
      <c r="H252" s="42"/>
      <c r="I252" s="42"/>
      <c r="J252" s="42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2"/>
      <c r="X252" s="42"/>
      <c r="Y252" s="42"/>
      <c r="Z252" s="42"/>
      <c r="AA252" s="42"/>
      <c r="AB252" s="42"/>
      <c r="AC252" s="36"/>
      <c r="AD252" s="36"/>
      <c r="AE252" s="36"/>
      <c r="AF252" s="42"/>
      <c r="AG252" s="36"/>
    </row>
    <row r="253" spans="1:33" s="44" customFormat="1" x14ac:dyDescent="0.3">
      <c r="A253" s="39"/>
      <c r="B253" s="23"/>
      <c r="C253" s="40"/>
      <c r="D253" s="40"/>
      <c r="E253" s="41"/>
      <c r="F253" s="41"/>
      <c r="G253" s="41"/>
      <c r="H253" s="42"/>
      <c r="I253" s="42"/>
      <c r="J253" s="42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2"/>
      <c r="X253" s="42"/>
      <c r="Y253" s="42"/>
      <c r="Z253" s="42"/>
      <c r="AA253" s="42"/>
      <c r="AB253" s="42"/>
      <c r="AC253" s="36"/>
      <c r="AD253" s="36"/>
      <c r="AE253" s="36"/>
      <c r="AF253" s="42"/>
      <c r="AG253" s="36"/>
    </row>
    <row r="254" spans="1:33" s="44" customFormat="1" x14ac:dyDescent="0.3">
      <c r="A254" s="39"/>
      <c r="B254" s="23"/>
      <c r="C254" s="40"/>
      <c r="D254" s="40"/>
      <c r="E254" s="41"/>
      <c r="F254" s="41"/>
      <c r="G254" s="41"/>
      <c r="H254" s="42"/>
      <c r="I254" s="42"/>
      <c r="J254" s="42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2"/>
      <c r="X254" s="42"/>
      <c r="Y254" s="42"/>
      <c r="Z254" s="42"/>
      <c r="AA254" s="42"/>
      <c r="AB254" s="42"/>
      <c r="AC254" s="36"/>
      <c r="AD254" s="36"/>
      <c r="AE254" s="36"/>
      <c r="AF254" s="42"/>
      <c r="AG254" s="36"/>
    </row>
    <row r="255" spans="1:33" s="44" customFormat="1" x14ac:dyDescent="0.3">
      <c r="A255" s="39"/>
      <c r="B255" s="23"/>
      <c r="C255" s="40"/>
      <c r="D255" s="40"/>
      <c r="E255" s="41"/>
      <c r="F255" s="41"/>
      <c r="G255" s="41"/>
      <c r="H255" s="42"/>
      <c r="I255" s="42"/>
      <c r="J255" s="42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2"/>
      <c r="X255" s="42"/>
      <c r="Y255" s="42"/>
      <c r="Z255" s="42"/>
      <c r="AA255" s="42"/>
      <c r="AB255" s="42"/>
      <c r="AC255" s="36"/>
      <c r="AD255" s="36"/>
      <c r="AE255" s="36"/>
      <c r="AF255" s="42"/>
      <c r="AG255" s="36"/>
    </row>
    <row r="256" spans="1:33" s="44" customFormat="1" x14ac:dyDescent="0.3">
      <c r="A256" s="39"/>
      <c r="B256" s="23"/>
      <c r="C256" s="40"/>
      <c r="D256" s="40"/>
      <c r="E256" s="41"/>
      <c r="F256" s="41"/>
      <c r="G256" s="41"/>
      <c r="H256" s="42"/>
      <c r="I256" s="42"/>
      <c r="J256" s="42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2"/>
      <c r="X256" s="42"/>
      <c r="Y256" s="42"/>
      <c r="Z256" s="42"/>
      <c r="AA256" s="42"/>
      <c r="AB256" s="42"/>
      <c r="AC256" s="36"/>
      <c r="AD256" s="36"/>
      <c r="AE256" s="36"/>
      <c r="AF256" s="42"/>
      <c r="AG256" s="36"/>
    </row>
    <row r="257" spans="1:33" s="44" customFormat="1" x14ac:dyDescent="0.3">
      <c r="A257" s="39"/>
      <c r="B257" s="23"/>
      <c r="C257" s="40"/>
      <c r="D257" s="40"/>
      <c r="E257" s="41"/>
      <c r="F257" s="41"/>
      <c r="G257" s="41"/>
      <c r="H257" s="42"/>
      <c r="I257" s="42"/>
      <c r="J257" s="42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2"/>
      <c r="X257" s="42"/>
      <c r="Y257" s="42"/>
      <c r="Z257" s="42"/>
      <c r="AA257" s="42"/>
      <c r="AB257" s="42"/>
      <c r="AC257" s="36"/>
      <c r="AD257" s="36"/>
      <c r="AE257" s="36"/>
      <c r="AF257" s="42"/>
      <c r="AG257" s="36"/>
    </row>
    <row r="258" spans="1:33" s="44" customFormat="1" x14ac:dyDescent="0.3">
      <c r="A258" s="39"/>
      <c r="B258" s="23"/>
      <c r="C258" s="40"/>
      <c r="D258" s="40"/>
      <c r="E258" s="41"/>
      <c r="F258" s="41"/>
      <c r="G258" s="41"/>
      <c r="H258" s="42"/>
      <c r="I258" s="42"/>
      <c r="J258" s="42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2"/>
      <c r="X258" s="42"/>
      <c r="Y258" s="42"/>
      <c r="Z258" s="42"/>
      <c r="AA258" s="42"/>
      <c r="AB258" s="42"/>
      <c r="AC258" s="36"/>
      <c r="AD258" s="36"/>
      <c r="AE258" s="36"/>
      <c r="AF258" s="42"/>
      <c r="AG258" s="36"/>
    </row>
    <row r="259" spans="1:33" s="44" customFormat="1" x14ac:dyDescent="0.3">
      <c r="A259" s="39"/>
      <c r="B259" s="23"/>
      <c r="C259" s="40"/>
      <c r="D259" s="40"/>
      <c r="E259" s="41"/>
      <c r="F259" s="41"/>
      <c r="G259" s="41"/>
      <c r="H259" s="42"/>
      <c r="I259" s="42"/>
      <c r="J259" s="42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2"/>
      <c r="X259" s="42"/>
      <c r="Y259" s="42"/>
      <c r="Z259" s="42"/>
      <c r="AA259" s="42"/>
      <c r="AB259" s="42"/>
      <c r="AC259" s="36"/>
      <c r="AD259" s="36"/>
      <c r="AE259" s="36"/>
      <c r="AF259" s="42"/>
      <c r="AG259" s="36"/>
    </row>
    <row r="260" spans="1:33" s="44" customFormat="1" x14ac:dyDescent="0.3">
      <c r="A260" s="39"/>
      <c r="B260" s="23"/>
      <c r="C260" s="40"/>
      <c r="D260" s="40"/>
      <c r="E260" s="41"/>
      <c r="F260" s="41"/>
      <c r="G260" s="41"/>
      <c r="H260" s="42"/>
      <c r="I260" s="42"/>
      <c r="J260" s="42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2"/>
      <c r="X260" s="42"/>
      <c r="Y260" s="42"/>
      <c r="Z260" s="42"/>
      <c r="AA260" s="42"/>
      <c r="AB260" s="42"/>
      <c r="AC260" s="36"/>
      <c r="AD260" s="36"/>
      <c r="AE260" s="36"/>
      <c r="AF260" s="42"/>
      <c r="AG260" s="36"/>
    </row>
    <row r="261" spans="1:33" s="44" customFormat="1" x14ac:dyDescent="0.3">
      <c r="A261" s="39"/>
      <c r="B261" s="23"/>
      <c r="C261" s="40"/>
      <c r="D261" s="40"/>
      <c r="E261" s="41"/>
      <c r="F261" s="41"/>
      <c r="G261" s="41"/>
      <c r="H261" s="42"/>
      <c r="I261" s="42"/>
      <c r="J261" s="42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2"/>
      <c r="X261" s="42"/>
      <c r="Y261" s="42"/>
      <c r="Z261" s="42"/>
      <c r="AA261" s="42"/>
      <c r="AB261" s="42"/>
      <c r="AC261" s="36"/>
      <c r="AD261" s="36"/>
      <c r="AE261" s="36"/>
      <c r="AF261" s="42"/>
      <c r="AG261" s="36"/>
    </row>
    <row r="262" spans="1:33" s="44" customFormat="1" x14ac:dyDescent="0.3">
      <c r="A262" s="39"/>
      <c r="B262" s="23"/>
      <c r="C262" s="40"/>
      <c r="D262" s="40"/>
      <c r="E262" s="41"/>
      <c r="F262" s="41"/>
      <c r="G262" s="41"/>
      <c r="H262" s="42"/>
      <c r="I262" s="42"/>
      <c r="J262" s="42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2"/>
      <c r="X262" s="42"/>
      <c r="Y262" s="42"/>
      <c r="Z262" s="42"/>
      <c r="AA262" s="42"/>
      <c r="AB262" s="42"/>
      <c r="AC262" s="36"/>
      <c r="AD262" s="36"/>
      <c r="AE262" s="36"/>
      <c r="AF262" s="42"/>
      <c r="AG262" s="36"/>
    </row>
    <row r="263" spans="1:33" s="44" customFormat="1" x14ac:dyDescent="0.3">
      <c r="A263" s="39"/>
      <c r="B263" s="23"/>
      <c r="C263" s="40"/>
      <c r="D263" s="40"/>
      <c r="E263" s="41"/>
      <c r="F263" s="41"/>
      <c r="G263" s="41"/>
      <c r="H263" s="42"/>
      <c r="I263" s="42"/>
      <c r="J263" s="42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2"/>
      <c r="X263" s="42"/>
      <c r="Y263" s="42"/>
      <c r="Z263" s="42"/>
      <c r="AA263" s="42"/>
      <c r="AB263" s="42"/>
      <c r="AC263" s="36"/>
      <c r="AD263" s="36"/>
      <c r="AE263" s="36"/>
      <c r="AF263" s="42"/>
      <c r="AG263" s="36"/>
    </row>
    <row r="264" spans="1:33" s="44" customFormat="1" x14ac:dyDescent="0.3">
      <c r="A264" s="39"/>
      <c r="B264" s="23"/>
      <c r="C264" s="40"/>
      <c r="D264" s="40"/>
      <c r="E264" s="41"/>
      <c r="F264" s="41"/>
      <c r="G264" s="41"/>
      <c r="H264" s="42"/>
      <c r="I264" s="42"/>
      <c r="J264" s="42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2"/>
      <c r="X264" s="42"/>
      <c r="Y264" s="42"/>
      <c r="Z264" s="42"/>
      <c r="AA264" s="42"/>
      <c r="AB264" s="42"/>
      <c r="AC264" s="36"/>
      <c r="AD264" s="36"/>
      <c r="AE264" s="36"/>
      <c r="AF264" s="42"/>
      <c r="AG264" s="36"/>
    </row>
    <row r="265" spans="1:33" s="44" customFormat="1" x14ac:dyDescent="0.3">
      <c r="A265" s="39"/>
      <c r="B265" s="23"/>
      <c r="C265" s="40"/>
      <c r="D265" s="40"/>
      <c r="E265" s="41"/>
      <c r="F265" s="41"/>
      <c r="G265" s="41"/>
      <c r="H265" s="42"/>
      <c r="I265" s="42"/>
      <c r="J265" s="42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2"/>
      <c r="X265" s="42"/>
      <c r="Y265" s="42"/>
      <c r="Z265" s="42"/>
      <c r="AA265" s="42"/>
      <c r="AB265" s="42"/>
      <c r="AC265" s="36"/>
      <c r="AD265" s="36"/>
      <c r="AE265" s="36"/>
      <c r="AF265" s="42"/>
      <c r="AG265" s="36"/>
    </row>
    <row r="266" spans="1:33" s="44" customFormat="1" x14ac:dyDescent="0.3">
      <c r="A266" s="39"/>
      <c r="B266" s="23"/>
      <c r="C266" s="40"/>
      <c r="D266" s="40"/>
      <c r="E266" s="41"/>
      <c r="F266" s="41"/>
      <c r="G266" s="41"/>
      <c r="H266" s="42"/>
      <c r="I266" s="42"/>
      <c r="J266" s="42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2"/>
      <c r="X266" s="42"/>
      <c r="Y266" s="42"/>
      <c r="Z266" s="42"/>
      <c r="AA266" s="42"/>
      <c r="AB266" s="42"/>
      <c r="AC266" s="36"/>
      <c r="AD266" s="36"/>
      <c r="AE266" s="36"/>
      <c r="AF266" s="42"/>
      <c r="AG266" s="36"/>
    </row>
    <row r="267" spans="1:33" s="44" customFormat="1" x14ac:dyDescent="0.3">
      <c r="A267" s="39"/>
      <c r="B267" s="23"/>
      <c r="C267" s="40"/>
      <c r="D267" s="40"/>
      <c r="E267" s="41"/>
      <c r="F267" s="41"/>
      <c r="G267" s="41"/>
      <c r="H267" s="42"/>
      <c r="I267" s="42"/>
      <c r="J267" s="42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2"/>
      <c r="X267" s="42"/>
      <c r="Y267" s="42"/>
      <c r="Z267" s="42"/>
      <c r="AA267" s="42"/>
      <c r="AB267" s="42"/>
      <c r="AC267" s="36"/>
      <c r="AD267" s="36"/>
      <c r="AE267" s="36"/>
      <c r="AF267" s="42"/>
      <c r="AG267" s="36"/>
    </row>
    <row r="268" spans="1:33" s="44" customFormat="1" x14ac:dyDescent="0.3">
      <c r="A268" s="39"/>
      <c r="B268" s="23"/>
      <c r="C268" s="40"/>
      <c r="D268" s="40"/>
      <c r="E268" s="41"/>
      <c r="F268" s="41"/>
      <c r="G268" s="41"/>
      <c r="H268" s="42"/>
      <c r="I268" s="42"/>
      <c r="J268" s="42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2"/>
      <c r="X268" s="42"/>
      <c r="Y268" s="42"/>
      <c r="Z268" s="42"/>
      <c r="AA268" s="42"/>
      <c r="AB268" s="42"/>
      <c r="AC268" s="36"/>
      <c r="AD268" s="36"/>
      <c r="AE268" s="36"/>
      <c r="AF268" s="42"/>
      <c r="AG268" s="36"/>
    </row>
    <row r="269" spans="1:33" s="44" customFormat="1" x14ac:dyDescent="0.3">
      <c r="A269" s="39"/>
      <c r="B269" s="23"/>
      <c r="C269" s="40"/>
      <c r="D269" s="40"/>
      <c r="E269" s="41"/>
      <c r="F269" s="41"/>
      <c r="G269" s="41"/>
      <c r="H269" s="42"/>
      <c r="I269" s="42"/>
      <c r="J269" s="42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2"/>
      <c r="X269" s="42"/>
      <c r="Y269" s="42"/>
      <c r="Z269" s="42"/>
      <c r="AA269" s="42"/>
      <c r="AB269" s="42"/>
      <c r="AC269" s="36"/>
      <c r="AD269" s="36"/>
      <c r="AE269" s="36"/>
      <c r="AF269" s="42"/>
      <c r="AG269" s="36"/>
    </row>
    <row r="270" spans="1:33" s="44" customFormat="1" x14ac:dyDescent="0.3">
      <c r="A270" s="39"/>
      <c r="B270" s="23"/>
      <c r="C270" s="40"/>
      <c r="D270" s="40"/>
      <c r="E270" s="41"/>
      <c r="F270" s="41"/>
      <c r="G270" s="41"/>
      <c r="H270" s="42"/>
      <c r="I270" s="42"/>
      <c r="J270" s="42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2"/>
      <c r="X270" s="42"/>
      <c r="Y270" s="42"/>
      <c r="Z270" s="42"/>
      <c r="AA270" s="42"/>
      <c r="AB270" s="42"/>
      <c r="AC270" s="36"/>
      <c r="AD270" s="36"/>
      <c r="AE270" s="36"/>
      <c r="AF270" s="42"/>
      <c r="AG270" s="36"/>
    </row>
    <row r="271" spans="1:33" s="44" customFormat="1" x14ac:dyDescent="0.3">
      <c r="A271" s="39"/>
      <c r="B271" s="23"/>
      <c r="C271" s="40"/>
      <c r="D271" s="40"/>
      <c r="E271" s="41"/>
      <c r="F271" s="41"/>
      <c r="G271" s="41"/>
      <c r="H271" s="42"/>
      <c r="I271" s="42"/>
      <c r="J271" s="42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2"/>
      <c r="X271" s="42"/>
      <c r="Y271" s="42"/>
      <c r="Z271" s="42"/>
      <c r="AA271" s="42"/>
      <c r="AB271" s="42"/>
      <c r="AC271" s="36"/>
      <c r="AD271" s="36"/>
      <c r="AE271" s="36"/>
      <c r="AF271" s="42"/>
      <c r="AG271" s="36"/>
    </row>
    <row r="272" spans="1:33" s="44" customFormat="1" x14ac:dyDescent="0.3">
      <c r="A272" s="39"/>
      <c r="B272" s="23"/>
      <c r="C272" s="40"/>
      <c r="D272" s="40"/>
      <c r="E272" s="41"/>
      <c r="F272" s="41"/>
      <c r="G272" s="41"/>
      <c r="H272" s="42"/>
      <c r="I272" s="42"/>
      <c r="J272" s="42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2"/>
      <c r="X272" s="42"/>
      <c r="Y272" s="42"/>
      <c r="Z272" s="42"/>
      <c r="AA272" s="42"/>
      <c r="AB272" s="42"/>
      <c r="AC272" s="36"/>
      <c r="AD272" s="36"/>
      <c r="AE272" s="36"/>
      <c r="AF272" s="42"/>
      <c r="AG272" s="36"/>
    </row>
    <row r="273" spans="1:33" s="44" customFormat="1" x14ac:dyDescent="0.3">
      <c r="A273" s="39"/>
      <c r="B273" s="23"/>
      <c r="C273" s="40"/>
      <c r="D273" s="40"/>
      <c r="E273" s="41"/>
      <c r="F273" s="41"/>
      <c r="G273" s="41"/>
      <c r="H273" s="42"/>
      <c r="I273" s="42"/>
      <c r="J273" s="42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2"/>
      <c r="X273" s="42"/>
      <c r="Y273" s="42"/>
      <c r="Z273" s="42"/>
      <c r="AA273" s="42"/>
      <c r="AB273" s="42"/>
      <c r="AC273" s="36"/>
      <c r="AD273" s="36"/>
      <c r="AE273" s="36"/>
      <c r="AF273" s="42"/>
      <c r="AG273" s="36"/>
    </row>
    <row r="274" spans="1:33" s="44" customFormat="1" x14ac:dyDescent="0.3">
      <c r="A274" s="39"/>
      <c r="B274" s="23"/>
      <c r="C274" s="40"/>
      <c r="D274" s="40"/>
      <c r="E274" s="41"/>
      <c r="F274" s="41"/>
      <c r="G274" s="41"/>
      <c r="H274" s="42"/>
      <c r="I274" s="42"/>
      <c r="J274" s="42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2"/>
      <c r="X274" s="42"/>
      <c r="Y274" s="42"/>
      <c r="Z274" s="42"/>
      <c r="AA274" s="42"/>
      <c r="AB274" s="42"/>
      <c r="AC274" s="36"/>
      <c r="AD274" s="36"/>
      <c r="AE274" s="36"/>
      <c r="AF274" s="42"/>
      <c r="AG274" s="36"/>
    </row>
    <row r="275" spans="1:33" s="44" customFormat="1" x14ac:dyDescent="0.3">
      <c r="A275" s="39"/>
      <c r="B275" s="23"/>
      <c r="C275" s="40"/>
      <c r="D275" s="40"/>
      <c r="E275" s="41"/>
      <c r="F275" s="41"/>
      <c r="G275" s="41"/>
      <c r="H275" s="42"/>
      <c r="I275" s="42"/>
      <c r="J275" s="42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2"/>
      <c r="X275" s="42"/>
      <c r="Y275" s="42"/>
      <c r="Z275" s="42"/>
      <c r="AA275" s="42"/>
      <c r="AB275" s="42"/>
      <c r="AC275" s="36"/>
      <c r="AD275" s="36"/>
      <c r="AE275" s="36"/>
      <c r="AF275" s="42"/>
      <c r="AG275" s="36"/>
    </row>
    <row r="276" spans="1:33" s="44" customFormat="1" x14ac:dyDescent="0.3">
      <c r="A276" s="39"/>
      <c r="B276" s="23"/>
      <c r="C276" s="40"/>
      <c r="D276" s="40"/>
      <c r="E276" s="41"/>
      <c r="F276" s="41"/>
      <c r="G276" s="41"/>
      <c r="H276" s="42"/>
      <c r="I276" s="42"/>
      <c r="J276" s="42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2"/>
      <c r="X276" s="42"/>
      <c r="Y276" s="42"/>
      <c r="Z276" s="42"/>
      <c r="AA276" s="42"/>
      <c r="AB276" s="42"/>
      <c r="AC276" s="36"/>
      <c r="AD276" s="36"/>
      <c r="AE276" s="36"/>
      <c r="AF276" s="42"/>
      <c r="AG276" s="36"/>
    </row>
    <row r="277" spans="1:33" s="44" customFormat="1" x14ac:dyDescent="0.3">
      <c r="A277" s="39"/>
      <c r="B277" s="23"/>
      <c r="C277" s="40"/>
      <c r="D277" s="40"/>
      <c r="E277" s="41"/>
      <c r="F277" s="41"/>
      <c r="G277" s="41"/>
      <c r="H277" s="42"/>
      <c r="I277" s="42"/>
      <c r="J277" s="42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2"/>
      <c r="X277" s="42"/>
      <c r="Y277" s="42"/>
      <c r="Z277" s="42"/>
      <c r="AA277" s="42"/>
      <c r="AB277" s="42"/>
      <c r="AC277" s="36"/>
      <c r="AD277" s="36"/>
      <c r="AE277" s="36"/>
      <c r="AF277" s="42"/>
      <c r="AG277" s="36"/>
    </row>
    <row r="278" spans="1:33" s="44" customFormat="1" x14ac:dyDescent="0.3">
      <c r="A278" s="39"/>
      <c r="B278" s="23"/>
      <c r="C278" s="40"/>
      <c r="D278" s="40"/>
      <c r="E278" s="41"/>
      <c r="F278" s="41"/>
      <c r="G278" s="41"/>
      <c r="H278" s="42"/>
      <c r="I278" s="42"/>
      <c r="J278" s="42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2"/>
      <c r="X278" s="42"/>
      <c r="Y278" s="42"/>
      <c r="Z278" s="42"/>
      <c r="AA278" s="42"/>
      <c r="AB278" s="42"/>
      <c r="AC278" s="36"/>
      <c r="AD278" s="36"/>
      <c r="AE278" s="36"/>
      <c r="AF278" s="42"/>
      <c r="AG278" s="36"/>
    </row>
    <row r="279" spans="1:33" s="44" customFormat="1" x14ac:dyDescent="0.3">
      <c r="A279" s="39"/>
      <c r="B279" s="23"/>
      <c r="C279" s="40"/>
      <c r="D279" s="40"/>
      <c r="E279" s="41"/>
      <c r="F279" s="41"/>
      <c r="G279" s="41"/>
      <c r="H279" s="42"/>
      <c r="I279" s="42"/>
      <c r="J279" s="42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2"/>
      <c r="X279" s="42"/>
      <c r="Y279" s="42"/>
      <c r="Z279" s="42"/>
      <c r="AA279" s="42"/>
      <c r="AB279" s="42"/>
      <c r="AC279" s="36"/>
      <c r="AD279" s="36"/>
      <c r="AE279" s="36"/>
      <c r="AF279" s="42"/>
      <c r="AG279" s="36"/>
    </row>
    <row r="280" spans="1:33" s="44" customFormat="1" x14ac:dyDescent="0.3">
      <c r="A280" s="39"/>
      <c r="B280" s="23"/>
      <c r="C280" s="40"/>
      <c r="D280" s="40"/>
      <c r="E280" s="41"/>
      <c r="F280" s="41"/>
      <c r="G280" s="41"/>
      <c r="H280" s="42"/>
      <c r="I280" s="42"/>
      <c r="J280" s="42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2"/>
      <c r="X280" s="42"/>
      <c r="Y280" s="42"/>
      <c r="Z280" s="42"/>
      <c r="AA280" s="42"/>
      <c r="AB280" s="42"/>
      <c r="AC280" s="36"/>
      <c r="AD280" s="36"/>
      <c r="AE280" s="36"/>
      <c r="AF280" s="42"/>
      <c r="AG280" s="36"/>
    </row>
    <row r="281" spans="1:33" s="44" customFormat="1" x14ac:dyDescent="0.3">
      <c r="A281" s="39"/>
      <c r="B281" s="23"/>
      <c r="C281" s="40"/>
      <c r="D281" s="40"/>
      <c r="E281" s="41"/>
      <c r="F281" s="41"/>
      <c r="G281" s="41"/>
      <c r="H281" s="42"/>
      <c r="I281" s="42"/>
      <c r="J281" s="42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2"/>
      <c r="X281" s="42"/>
      <c r="Y281" s="42"/>
      <c r="Z281" s="42"/>
      <c r="AA281" s="42"/>
      <c r="AB281" s="42"/>
      <c r="AC281" s="36"/>
      <c r="AD281" s="36"/>
      <c r="AE281" s="36"/>
      <c r="AF281" s="42"/>
      <c r="AG281" s="36"/>
    </row>
    <row r="282" spans="1:33" s="44" customFormat="1" x14ac:dyDescent="0.3">
      <c r="A282" s="39"/>
      <c r="B282" s="23"/>
      <c r="C282" s="40"/>
      <c r="D282" s="40"/>
      <c r="E282" s="41"/>
      <c r="F282" s="41"/>
      <c r="G282" s="41"/>
      <c r="H282" s="42"/>
      <c r="I282" s="42"/>
      <c r="J282" s="42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2"/>
      <c r="X282" s="42"/>
      <c r="Y282" s="42"/>
      <c r="Z282" s="42"/>
      <c r="AA282" s="42"/>
      <c r="AB282" s="42"/>
      <c r="AC282" s="36"/>
      <c r="AD282" s="36"/>
      <c r="AE282" s="36"/>
      <c r="AF282" s="42"/>
      <c r="AG282" s="36"/>
    </row>
    <row r="283" spans="1:33" s="44" customFormat="1" x14ac:dyDescent="0.3">
      <c r="A283" s="39"/>
      <c r="B283" s="23"/>
      <c r="C283" s="40"/>
      <c r="D283" s="40"/>
      <c r="E283" s="41"/>
      <c r="F283" s="41"/>
      <c r="G283" s="41"/>
      <c r="H283" s="42"/>
      <c r="I283" s="42"/>
      <c r="J283" s="42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2"/>
      <c r="X283" s="42"/>
      <c r="Y283" s="42"/>
      <c r="Z283" s="42"/>
      <c r="AA283" s="42"/>
      <c r="AB283" s="42"/>
      <c r="AC283" s="36"/>
      <c r="AD283" s="36"/>
      <c r="AE283" s="36"/>
      <c r="AF283" s="42"/>
      <c r="AG283" s="36"/>
    </row>
    <row r="284" spans="1:33" s="44" customFormat="1" x14ac:dyDescent="0.3">
      <c r="A284" s="39"/>
      <c r="B284" s="23"/>
      <c r="C284" s="40"/>
      <c r="D284" s="40"/>
      <c r="E284" s="41"/>
      <c r="F284" s="41"/>
      <c r="G284" s="41"/>
      <c r="H284" s="42"/>
      <c r="I284" s="42"/>
      <c r="J284" s="42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2"/>
      <c r="X284" s="42"/>
      <c r="Y284" s="42"/>
      <c r="Z284" s="42"/>
      <c r="AA284" s="42"/>
      <c r="AB284" s="42"/>
      <c r="AC284" s="36"/>
      <c r="AD284" s="36"/>
      <c r="AE284" s="36"/>
      <c r="AF284" s="42"/>
      <c r="AG284" s="36"/>
    </row>
    <row r="285" spans="1:33" s="44" customFormat="1" x14ac:dyDescent="0.3">
      <c r="A285" s="39"/>
      <c r="B285" s="23"/>
      <c r="C285" s="40"/>
      <c r="D285" s="40"/>
      <c r="E285" s="41"/>
      <c r="F285" s="41"/>
      <c r="G285" s="41"/>
      <c r="H285" s="42"/>
      <c r="I285" s="42"/>
      <c r="J285" s="42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2"/>
      <c r="X285" s="42"/>
      <c r="Y285" s="42"/>
      <c r="Z285" s="42"/>
      <c r="AA285" s="42"/>
      <c r="AB285" s="42"/>
      <c r="AC285" s="36"/>
      <c r="AD285" s="36"/>
      <c r="AE285" s="36"/>
      <c r="AF285" s="42"/>
      <c r="AG285" s="36"/>
    </row>
    <row r="286" spans="1:33" s="44" customFormat="1" x14ac:dyDescent="0.3">
      <c r="A286" s="39"/>
      <c r="B286" s="23"/>
      <c r="C286" s="40"/>
      <c r="D286" s="40"/>
      <c r="E286" s="41"/>
      <c r="F286" s="41"/>
      <c r="G286" s="41"/>
      <c r="H286" s="42"/>
      <c r="I286" s="42"/>
      <c r="J286" s="42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2"/>
      <c r="X286" s="42"/>
      <c r="Y286" s="42"/>
      <c r="Z286" s="42"/>
      <c r="AA286" s="42"/>
      <c r="AB286" s="42"/>
      <c r="AC286" s="36"/>
      <c r="AD286" s="36"/>
      <c r="AE286" s="36"/>
      <c r="AF286" s="42"/>
      <c r="AG286" s="36"/>
    </row>
    <row r="287" spans="1:33" s="44" customFormat="1" x14ac:dyDescent="0.3">
      <c r="A287" s="39"/>
      <c r="B287" s="23"/>
      <c r="C287" s="40"/>
      <c r="D287" s="40"/>
      <c r="E287" s="41"/>
      <c r="F287" s="41"/>
      <c r="G287" s="41"/>
      <c r="H287" s="42"/>
      <c r="I287" s="42"/>
      <c r="J287" s="42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2"/>
      <c r="X287" s="42"/>
      <c r="Y287" s="42"/>
      <c r="Z287" s="42"/>
      <c r="AA287" s="42"/>
      <c r="AB287" s="42"/>
      <c r="AC287" s="36"/>
      <c r="AD287" s="36"/>
      <c r="AE287" s="36"/>
      <c r="AF287" s="42"/>
      <c r="AG287" s="36"/>
    </row>
    <row r="288" spans="1:33" s="44" customFormat="1" x14ac:dyDescent="0.3">
      <c r="A288" s="39"/>
      <c r="B288" s="23"/>
      <c r="C288" s="40"/>
      <c r="D288" s="40"/>
      <c r="E288" s="41"/>
      <c r="F288" s="41"/>
      <c r="G288" s="41"/>
      <c r="H288" s="42"/>
      <c r="I288" s="42"/>
      <c r="J288" s="42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2"/>
      <c r="X288" s="42"/>
      <c r="Y288" s="42"/>
      <c r="Z288" s="42"/>
      <c r="AA288" s="42"/>
      <c r="AB288" s="42"/>
      <c r="AC288" s="36"/>
      <c r="AD288" s="36"/>
      <c r="AE288" s="36"/>
      <c r="AF288" s="42"/>
      <c r="AG288" s="36"/>
    </row>
    <row r="289" spans="1:33" s="44" customFormat="1" x14ac:dyDescent="0.3">
      <c r="A289" s="39"/>
      <c r="B289" s="23"/>
      <c r="C289" s="40"/>
      <c r="D289" s="40"/>
      <c r="E289" s="41"/>
      <c r="F289" s="41"/>
      <c r="G289" s="41"/>
      <c r="H289" s="42"/>
      <c r="I289" s="42"/>
      <c r="J289" s="42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2"/>
      <c r="X289" s="42"/>
      <c r="Y289" s="42"/>
      <c r="Z289" s="42"/>
      <c r="AA289" s="42"/>
      <c r="AB289" s="42"/>
      <c r="AC289" s="36"/>
      <c r="AD289" s="36"/>
      <c r="AE289" s="36"/>
      <c r="AF289" s="42"/>
      <c r="AG289" s="36"/>
    </row>
    <row r="290" spans="1:33" s="44" customFormat="1" x14ac:dyDescent="0.3">
      <c r="A290" s="39"/>
      <c r="B290" s="23"/>
      <c r="C290" s="40"/>
      <c r="D290" s="40"/>
      <c r="E290" s="41"/>
      <c r="F290" s="41"/>
      <c r="G290" s="41"/>
      <c r="H290" s="42"/>
      <c r="I290" s="42"/>
      <c r="J290" s="42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2"/>
      <c r="X290" s="42"/>
      <c r="Y290" s="42"/>
      <c r="Z290" s="42"/>
      <c r="AA290" s="42"/>
      <c r="AB290" s="42"/>
      <c r="AC290" s="36"/>
      <c r="AD290" s="36"/>
      <c r="AE290" s="36"/>
      <c r="AF290" s="42"/>
      <c r="AG290" s="36"/>
    </row>
    <row r="291" spans="1:33" s="44" customFormat="1" x14ac:dyDescent="0.3">
      <c r="A291" s="39"/>
      <c r="B291" s="23"/>
      <c r="C291" s="40"/>
      <c r="D291" s="40"/>
      <c r="E291" s="41"/>
      <c r="F291" s="41"/>
      <c r="G291" s="41"/>
      <c r="H291" s="42"/>
      <c r="I291" s="42"/>
      <c r="J291" s="42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2"/>
      <c r="X291" s="42"/>
      <c r="Y291" s="42"/>
      <c r="Z291" s="42"/>
      <c r="AA291" s="42"/>
      <c r="AB291" s="42"/>
      <c r="AC291" s="36"/>
      <c r="AD291" s="36"/>
      <c r="AE291" s="36"/>
      <c r="AF291" s="42"/>
      <c r="AG291" s="36"/>
    </row>
    <row r="292" spans="1:33" s="44" customFormat="1" x14ac:dyDescent="0.3">
      <c r="A292" s="39"/>
      <c r="B292" s="23"/>
      <c r="C292" s="40"/>
      <c r="D292" s="40"/>
      <c r="E292" s="41"/>
      <c r="F292" s="41"/>
      <c r="G292" s="41"/>
      <c r="H292" s="42"/>
      <c r="I292" s="42"/>
      <c r="J292" s="42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2"/>
      <c r="X292" s="42"/>
      <c r="Y292" s="42"/>
      <c r="Z292" s="42"/>
      <c r="AA292" s="42"/>
      <c r="AB292" s="42"/>
      <c r="AC292" s="36"/>
      <c r="AD292" s="36"/>
      <c r="AE292" s="36"/>
      <c r="AF292" s="42"/>
      <c r="AG292" s="36"/>
    </row>
    <row r="293" spans="1:33" s="44" customFormat="1" x14ac:dyDescent="0.3">
      <c r="A293" s="39"/>
      <c r="B293" s="23"/>
      <c r="C293" s="40"/>
      <c r="D293" s="40"/>
      <c r="E293" s="41"/>
      <c r="F293" s="41"/>
      <c r="G293" s="41"/>
      <c r="H293" s="42"/>
      <c r="I293" s="42"/>
      <c r="J293" s="42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2"/>
      <c r="X293" s="42"/>
      <c r="Y293" s="42"/>
      <c r="Z293" s="42"/>
      <c r="AA293" s="42"/>
      <c r="AB293" s="42"/>
      <c r="AC293" s="36"/>
      <c r="AD293" s="36"/>
      <c r="AE293" s="36"/>
      <c r="AF293" s="42"/>
      <c r="AG293" s="36"/>
    </row>
    <row r="294" spans="1:33" s="44" customFormat="1" x14ac:dyDescent="0.3">
      <c r="A294" s="39"/>
      <c r="B294" s="23"/>
      <c r="C294" s="40"/>
      <c r="D294" s="40"/>
      <c r="E294" s="41"/>
      <c r="F294" s="41"/>
      <c r="G294" s="41"/>
      <c r="H294" s="42"/>
      <c r="I294" s="42"/>
      <c r="J294" s="42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2"/>
      <c r="X294" s="42"/>
      <c r="Y294" s="42"/>
      <c r="Z294" s="42"/>
      <c r="AA294" s="42"/>
      <c r="AB294" s="42"/>
      <c r="AC294" s="36"/>
      <c r="AD294" s="36"/>
      <c r="AE294" s="36"/>
      <c r="AF294" s="42"/>
      <c r="AG294" s="36"/>
    </row>
    <row r="295" spans="1:33" s="44" customFormat="1" x14ac:dyDescent="0.3">
      <c r="A295" s="39"/>
      <c r="B295" s="23"/>
      <c r="C295" s="40"/>
      <c r="D295" s="40"/>
      <c r="E295" s="41"/>
      <c r="F295" s="41"/>
      <c r="G295" s="41"/>
      <c r="H295" s="42"/>
      <c r="I295" s="42"/>
      <c r="J295" s="42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2"/>
      <c r="X295" s="42"/>
      <c r="Y295" s="42"/>
      <c r="Z295" s="42"/>
      <c r="AA295" s="42"/>
      <c r="AB295" s="42"/>
      <c r="AC295" s="36"/>
      <c r="AD295" s="36"/>
      <c r="AE295" s="36"/>
      <c r="AF295" s="42"/>
      <c r="AG295" s="36"/>
    </row>
    <row r="296" spans="1:33" s="44" customFormat="1" x14ac:dyDescent="0.3">
      <c r="A296" s="39"/>
      <c r="B296" s="23"/>
      <c r="C296" s="40"/>
      <c r="D296" s="40"/>
      <c r="E296" s="41"/>
      <c r="F296" s="41"/>
      <c r="G296" s="41"/>
      <c r="H296" s="42"/>
      <c r="I296" s="42"/>
      <c r="J296" s="42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2"/>
      <c r="X296" s="42"/>
      <c r="Y296" s="42"/>
      <c r="Z296" s="42"/>
      <c r="AA296" s="42"/>
      <c r="AB296" s="42"/>
      <c r="AC296" s="36"/>
      <c r="AD296" s="36"/>
      <c r="AE296" s="36"/>
      <c r="AF296" s="42"/>
      <c r="AG296" s="36"/>
    </row>
    <row r="297" spans="1:33" s="44" customFormat="1" x14ac:dyDescent="0.3">
      <c r="A297" s="39"/>
      <c r="B297" s="23"/>
      <c r="C297" s="40"/>
      <c r="D297" s="40"/>
      <c r="E297" s="41"/>
      <c r="F297" s="41"/>
      <c r="G297" s="41"/>
      <c r="H297" s="42"/>
      <c r="I297" s="42"/>
      <c r="J297" s="42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2"/>
      <c r="X297" s="42"/>
      <c r="Y297" s="42"/>
      <c r="Z297" s="42"/>
      <c r="AA297" s="42"/>
      <c r="AB297" s="42"/>
      <c r="AC297" s="36"/>
      <c r="AD297" s="36"/>
      <c r="AE297" s="36"/>
      <c r="AF297" s="42"/>
      <c r="AG297" s="36"/>
    </row>
    <row r="298" spans="1:33" s="44" customFormat="1" x14ac:dyDescent="0.3">
      <c r="A298" s="39"/>
      <c r="B298" s="23"/>
      <c r="C298" s="40"/>
      <c r="D298" s="40"/>
      <c r="E298" s="41"/>
      <c r="F298" s="41"/>
      <c r="G298" s="41"/>
      <c r="H298" s="42"/>
      <c r="I298" s="42"/>
      <c r="J298" s="42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2"/>
      <c r="X298" s="42"/>
      <c r="Y298" s="42"/>
      <c r="Z298" s="42"/>
      <c r="AA298" s="42"/>
      <c r="AB298" s="42"/>
      <c r="AC298" s="36"/>
      <c r="AD298" s="36"/>
      <c r="AE298" s="36"/>
      <c r="AF298" s="42"/>
      <c r="AG298" s="36"/>
    </row>
    <row r="299" spans="1:33" s="44" customFormat="1" x14ac:dyDescent="0.3">
      <c r="A299" s="39"/>
      <c r="B299" s="23"/>
      <c r="C299" s="40"/>
      <c r="D299" s="40"/>
      <c r="E299" s="41"/>
      <c r="F299" s="41"/>
      <c r="G299" s="41"/>
      <c r="H299" s="42"/>
      <c r="I299" s="42"/>
      <c r="J299" s="42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2"/>
      <c r="X299" s="42"/>
      <c r="Y299" s="42"/>
      <c r="Z299" s="42"/>
      <c r="AA299" s="42"/>
      <c r="AB299" s="42"/>
      <c r="AC299" s="36"/>
      <c r="AD299" s="36"/>
      <c r="AE299" s="36"/>
      <c r="AF299" s="42"/>
      <c r="AG299" s="36"/>
    </row>
    <row r="300" spans="1:33" s="44" customFormat="1" x14ac:dyDescent="0.3">
      <c r="A300" s="39"/>
      <c r="B300" s="23"/>
      <c r="C300" s="40"/>
      <c r="D300" s="40"/>
      <c r="E300" s="41"/>
      <c r="F300" s="41"/>
      <c r="G300" s="41"/>
      <c r="H300" s="42"/>
      <c r="I300" s="42"/>
      <c r="J300" s="42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2"/>
      <c r="X300" s="42"/>
      <c r="Y300" s="42"/>
      <c r="Z300" s="42"/>
      <c r="AA300" s="42"/>
      <c r="AB300" s="42"/>
      <c r="AC300" s="36"/>
      <c r="AD300" s="36"/>
      <c r="AE300" s="36"/>
      <c r="AF300" s="42"/>
      <c r="AG300" s="36"/>
    </row>
    <row r="301" spans="1:33" s="44" customFormat="1" x14ac:dyDescent="0.3">
      <c r="A301" s="39"/>
      <c r="B301" s="23"/>
      <c r="C301" s="40"/>
      <c r="D301" s="40"/>
      <c r="E301" s="41"/>
      <c r="F301" s="41"/>
      <c r="G301" s="41"/>
      <c r="H301" s="42"/>
      <c r="I301" s="42"/>
      <c r="J301" s="42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2"/>
      <c r="X301" s="42"/>
      <c r="Y301" s="42"/>
      <c r="Z301" s="42"/>
      <c r="AA301" s="42"/>
      <c r="AB301" s="42"/>
      <c r="AC301" s="36"/>
      <c r="AD301" s="36"/>
      <c r="AE301" s="36"/>
      <c r="AF301" s="42"/>
      <c r="AG301" s="36"/>
    </row>
    <row r="302" spans="1:33" s="44" customFormat="1" x14ac:dyDescent="0.3">
      <c r="A302" s="39"/>
      <c r="B302" s="23"/>
      <c r="C302" s="40"/>
      <c r="D302" s="40"/>
      <c r="E302" s="41"/>
      <c r="F302" s="41"/>
      <c r="G302" s="41"/>
      <c r="H302" s="42"/>
      <c r="I302" s="42"/>
      <c r="J302" s="42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2"/>
      <c r="X302" s="42"/>
      <c r="Y302" s="42"/>
      <c r="Z302" s="42"/>
      <c r="AA302" s="42"/>
      <c r="AB302" s="42"/>
      <c r="AC302" s="36"/>
      <c r="AD302" s="36"/>
      <c r="AE302" s="36"/>
      <c r="AF302" s="42"/>
      <c r="AG302" s="36"/>
    </row>
    <row r="303" spans="1:33" s="44" customFormat="1" x14ac:dyDescent="0.3">
      <c r="A303" s="39"/>
      <c r="B303" s="23"/>
      <c r="C303" s="40"/>
      <c r="D303" s="40"/>
      <c r="E303" s="41"/>
      <c r="F303" s="41"/>
      <c r="G303" s="41"/>
      <c r="H303" s="42"/>
      <c r="I303" s="42"/>
      <c r="J303" s="42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2"/>
      <c r="X303" s="42"/>
      <c r="Y303" s="42"/>
      <c r="Z303" s="42"/>
      <c r="AA303" s="42"/>
      <c r="AB303" s="42"/>
      <c r="AC303" s="36"/>
      <c r="AD303" s="36"/>
      <c r="AE303" s="36"/>
      <c r="AF303" s="42"/>
      <c r="AG303" s="36"/>
    </row>
    <row r="304" spans="1:33" s="44" customFormat="1" x14ac:dyDescent="0.3">
      <c r="A304" s="39"/>
      <c r="B304" s="23"/>
      <c r="C304" s="40"/>
      <c r="D304" s="40"/>
      <c r="E304" s="41"/>
      <c r="F304" s="41"/>
      <c r="G304" s="41"/>
      <c r="H304" s="42"/>
      <c r="I304" s="42"/>
      <c r="J304" s="42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2"/>
      <c r="X304" s="42"/>
      <c r="Y304" s="42"/>
      <c r="Z304" s="42"/>
      <c r="AA304" s="42"/>
      <c r="AB304" s="42"/>
      <c r="AC304" s="36"/>
      <c r="AD304" s="36"/>
      <c r="AE304" s="36"/>
      <c r="AF304" s="42"/>
      <c r="AG304" s="36"/>
    </row>
    <row r="305" spans="1:33" s="44" customFormat="1" x14ac:dyDescent="0.3">
      <c r="A305" s="39"/>
      <c r="B305" s="23"/>
      <c r="C305" s="40"/>
      <c r="D305" s="40"/>
      <c r="E305" s="41"/>
      <c r="F305" s="41"/>
      <c r="G305" s="41"/>
      <c r="H305" s="42"/>
      <c r="I305" s="42"/>
      <c r="J305" s="42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2"/>
      <c r="X305" s="42"/>
      <c r="Y305" s="42"/>
      <c r="Z305" s="42"/>
      <c r="AA305" s="42"/>
      <c r="AB305" s="42"/>
      <c r="AC305" s="36"/>
      <c r="AD305" s="36"/>
      <c r="AE305" s="36"/>
      <c r="AF305" s="42"/>
      <c r="AG305" s="36"/>
    </row>
    <row r="306" spans="1:33" s="44" customFormat="1" x14ac:dyDescent="0.3">
      <c r="A306" s="39"/>
      <c r="B306" s="23"/>
      <c r="C306" s="40"/>
      <c r="D306" s="40"/>
      <c r="E306" s="41"/>
      <c r="F306" s="41"/>
      <c r="G306" s="41"/>
      <c r="H306" s="42"/>
      <c r="I306" s="42"/>
      <c r="J306" s="42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2"/>
      <c r="X306" s="42"/>
      <c r="Y306" s="42"/>
      <c r="Z306" s="42"/>
      <c r="AA306" s="42"/>
      <c r="AB306" s="42"/>
      <c r="AC306" s="36"/>
      <c r="AD306" s="36"/>
      <c r="AE306" s="36"/>
      <c r="AF306" s="42"/>
      <c r="AG306" s="36"/>
    </row>
    <row r="307" spans="1:33" s="44" customFormat="1" x14ac:dyDescent="0.3">
      <c r="A307" s="39"/>
      <c r="B307" s="23"/>
      <c r="C307" s="40"/>
      <c r="D307" s="40"/>
      <c r="E307" s="41"/>
      <c r="F307" s="41"/>
      <c r="G307" s="41"/>
      <c r="H307" s="42"/>
      <c r="I307" s="42"/>
      <c r="J307" s="42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2"/>
      <c r="X307" s="42"/>
      <c r="Y307" s="42"/>
      <c r="Z307" s="42"/>
      <c r="AA307" s="42"/>
      <c r="AB307" s="42"/>
      <c r="AC307" s="36"/>
      <c r="AD307" s="36"/>
      <c r="AE307" s="36"/>
      <c r="AF307" s="42"/>
      <c r="AG307" s="36"/>
    </row>
    <row r="308" spans="1:33" s="44" customFormat="1" x14ac:dyDescent="0.3">
      <c r="A308" s="39"/>
      <c r="B308" s="23"/>
      <c r="C308" s="40"/>
      <c r="D308" s="40"/>
      <c r="E308" s="41"/>
      <c r="F308" s="41"/>
      <c r="G308" s="41"/>
      <c r="H308" s="42"/>
      <c r="I308" s="42"/>
      <c r="J308" s="42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2"/>
      <c r="X308" s="42"/>
      <c r="Y308" s="42"/>
      <c r="Z308" s="42"/>
      <c r="AA308" s="42"/>
      <c r="AB308" s="42"/>
      <c r="AC308" s="36"/>
      <c r="AD308" s="36"/>
      <c r="AE308" s="36"/>
      <c r="AF308" s="42"/>
      <c r="AG308" s="36"/>
    </row>
    <row r="309" spans="1:33" s="44" customFormat="1" x14ac:dyDescent="0.3">
      <c r="A309" s="39"/>
      <c r="B309" s="23"/>
      <c r="C309" s="40"/>
      <c r="D309" s="40"/>
      <c r="E309" s="41"/>
      <c r="F309" s="41"/>
      <c r="G309" s="41"/>
      <c r="H309" s="42"/>
      <c r="I309" s="42"/>
      <c r="J309" s="42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2"/>
      <c r="X309" s="42"/>
      <c r="Y309" s="42"/>
      <c r="Z309" s="42"/>
      <c r="AA309" s="42"/>
      <c r="AB309" s="42"/>
      <c r="AC309" s="36"/>
      <c r="AD309" s="36"/>
      <c r="AE309" s="36"/>
      <c r="AF309" s="42"/>
      <c r="AG309" s="36"/>
    </row>
    <row r="310" spans="1:33" s="44" customFormat="1" x14ac:dyDescent="0.3">
      <c r="A310" s="39"/>
      <c r="B310" s="23"/>
      <c r="C310" s="40"/>
      <c r="D310" s="40"/>
      <c r="E310" s="41"/>
      <c r="F310" s="41"/>
      <c r="G310" s="41"/>
      <c r="H310" s="42"/>
      <c r="I310" s="42"/>
      <c r="J310" s="42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2"/>
      <c r="X310" s="42"/>
      <c r="Y310" s="42"/>
      <c r="Z310" s="42"/>
      <c r="AA310" s="42"/>
      <c r="AB310" s="42"/>
      <c r="AC310" s="36"/>
      <c r="AD310" s="36"/>
      <c r="AE310" s="36"/>
      <c r="AF310" s="42"/>
      <c r="AG310" s="36"/>
    </row>
    <row r="311" spans="1:33" s="44" customFormat="1" x14ac:dyDescent="0.3">
      <c r="A311" s="39"/>
      <c r="B311" s="23"/>
      <c r="C311" s="40"/>
      <c r="D311" s="40"/>
      <c r="E311" s="41"/>
      <c r="F311" s="41"/>
      <c r="G311" s="41"/>
      <c r="H311" s="42"/>
      <c r="I311" s="42"/>
      <c r="J311" s="42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2"/>
      <c r="X311" s="42"/>
      <c r="Y311" s="42"/>
      <c r="Z311" s="42"/>
      <c r="AA311" s="42"/>
      <c r="AB311" s="42"/>
      <c r="AC311" s="36"/>
      <c r="AD311" s="36"/>
      <c r="AE311" s="36"/>
      <c r="AF311" s="42"/>
      <c r="AG311" s="36"/>
    </row>
    <row r="312" spans="1:33" s="44" customFormat="1" x14ac:dyDescent="0.3">
      <c r="A312" s="39"/>
      <c r="B312" s="23"/>
      <c r="C312" s="40"/>
      <c r="D312" s="40"/>
      <c r="E312" s="41"/>
      <c r="F312" s="41"/>
      <c r="G312" s="41"/>
      <c r="H312" s="42"/>
      <c r="I312" s="42"/>
      <c r="J312" s="42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2"/>
      <c r="X312" s="42"/>
      <c r="Y312" s="42"/>
      <c r="Z312" s="42"/>
      <c r="AA312" s="42"/>
      <c r="AB312" s="42"/>
      <c r="AC312" s="36"/>
      <c r="AD312" s="36"/>
      <c r="AE312" s="36"/>
      <c r="AF312" s="42"/>
      <c r="AG312" s="36"/>
    </row>
    <row r="313" spans="1:33" s="44" customFormat="1" x14ac:dyDescent="0.3">
      <c r="A313" s="39"/>
      <c r="B313" s="23"/>
      <c r="C313" s="40"/>
      <c r="D313" s="40"/>
      <c r="E313" s="41"/>
      <c r="F313" s="41"/>
      <c r="G313" s="41"/>
      <c r="H313" s="42"/>
      <c r="I313" s="42"/>
      <c r="J313" s="42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2"/>
      <c r="X313" s="42"/>
      <c r="Y313" s="42"/>
      <c r="Z313" s="42"/>
      <c r="AA313" s="42"/>
      <c r="AB313" s="42"/>
      <c r="AC313" s="36"/>
      <c r="AD313" s="36"/>
      <c r="AE313" s="36"/>
      <c r="AF313" s="42"/>
      <c r="AG313" s="36"/>
    </row>
    <row r="314" spans="1:33" s="44" customFormat="1" x14ac:dyDescent="0.3">
      <c r="A314" s="39"/>
      <c r="B314" s="23"/>
      <c r="C314" s="40"/>
      <c r="D314" s="40"/>
      <c r="E314" s="41"/>
      <c r="F314" s="41"/>
      <c r="G314" s="41"/>
      <c r="H314" s="42"/>
      <c r="I314" s="42"/>
      <c r="J314" s="42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2"/>
      <c r="X314" s="42"/>
      <c r="Y314" s="42"/>
      <c r="Z314" s="42"/>
      <c r="AA314" s="42"/>
      <c r="AB314" s="42"/>
      <c r="AC314" s="36"/>
      <c r="AD314" s="36"/>
      <c r="AE314" s="36"/>
      <c r="AF314" s="42"/>
      <c r="AG314" s="36"/>
    </row>
    <row r="315" spans="1:33" s="44" customFormat="1" x14ac:dyDescent="0.3">
      <c r="A315" s="39"/>
      <c r="B315" s="23"/>
      <c r="C315" s="40"/>
      <c r="D315" s="40"/>
      <c r="E315" s="41"/>
      <c r="F315" s="41"/>
      <c r="G315" s="41"/>
      <c r="H315" s="42"/>
      <c r="I315" s="42"/>
      <c r="J315" s="42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2"/>
      <c r="X315" s="42"/>
      <c r="Y315" s="42"/>
      <c r="Z315" s="42"/>
      <c r="AA315" s="42"/>
      <c r="AB315" s="42"/>
      <c r="AC315" s="36"/>
      <c r="AD315" s="36"/>
      <c r="AE315" s="36"/>
      <c r="AF315" s="42"/>
      <c r="AG315" s="36"/>
    </row>
    <row r="316" spans="1:33" s="44" customFormat="1" x14ac:dyDescent="0.3">
      <c r="A316" s="39"/>
      <c r="B316" s="23"/>
      <c r="C316" s="40"/>
      <c r="D316" s="40"/>
      <c r="E316" s="41"/>
      <c r="F316" s="41"/>
      <c r="G316" s="41"/>
      <c r="H316" s="42"/>
      <c r="I316" s="42"/>
      <c r="J316" s="42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2"/>
      <c r="X316" s="42"/>
      <c r="Y316" s="42"/>
      <c r="Z316" s="42"/>
      <c r="AA316" s="42"/>
      <c r="AB316" s="42"/>
      <c r="AC316" s="36"/>
      <c r="AD316" s="36"/>
      <c r="AE316" s="36"/>
      <c r="AF316" s="42"/>
      <c r="AG316" s="36"/>
    </row>
    <row r="317" spans="1:33" s="44" customFormat="1" x14ac:dyDescent="0.3">
      <c r="A317" s="39"/>
      <c r="B317" s="23"/>
      <c r="C317" s="40"/>
      <c r="D317" s="40"/>
      <c r="E317" s="41"/>
      <c r="F317" s="41"/>
      <c r="G317" s="41"/>
      <c r="H317" s="42"/>
      <c r="I317" s="42"/>
      <c r="J317" s="42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2"/>
      <c r="X317" s="42"/>
      <c r="Y317" s="42"/>
      <c r="Z317" s="42"/>
      <c r="AA317" s="42"/>
      <c r="AB317" s="42"/>
      <c r="AC317" s="36"/>
      <c r="AD317" s="36"/>
      <c r="AE317" s="36"/>
      <c r="AF317" s="42"/>
      <c r="AG317" s="36"/>
    </row>
    <row r="318" spans="1:33" s="44" customFormat="1" x14ac:dyDescent="0.3">
      <c r="A318" s="39"/>
      <c r="B318" s="23"/>
      <c r="C318" s="40"/>
      <c r="D318" s="40"/>
      <c r="E318" s="41"/>
      <c r="F318" s="41"/>
      <c r="G318" s="41"/>
      <c r="H318" s="42"/>
      <c r="I318" s="42"/>
      <c r="J318" s="42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2"/>
      <c r="X318" s="42"/>
      <c r="Y318" s="42"/>
      <c r="Z318" s="42"/>
      <c r="AA318" s="42"/>
      <c r="AB318" s="42"/>
      <c r="AC318" s="36"/>
      <c r="AD318" s="36"/>
      <c r="AE318" s="36"/>
      <c r="AF318" s="42"/>
      <c r="AG318" s="36"/>
    </row>
    <row r="319" spans="1:33" s="44" customFormat="1" x14ac:dyDescent="0.3">
      <c r="A319" s="39"/>
      <c r="B319" s="23"/>
      <c r="C319" s="40"/>
      <c r="D319" s="40"/>
      <c r="E319" s="41"/>
      <c r="F319" s="41"/>
      <c r="G319" s="41"/>
      <c r="H319" s="42"/>
      <c r="I319" s="42"/>
      <c r="J319" s="42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2"/>
      <c r="X319" s="42"/>
      <c r="Y319" s="42"/>
      <c r="Z319" s="42"/>
      <c r="AA319" s="42"/>
      <c r="AB319" s="42"/>
      <c r="AC319" s="36"/>
      <c r="AD319" s="36"/>
      <c r="AE319" s="36"/>
      <c r="AF319" s="42"/>
      <c r="AG319" s="36"/>
    </row>
    <row r="320" spans="1:33" s="44" customFormat="1" x14ac:dyDescent="0.3">
      <c r="A320" s="39"/>
      <c r="B320" s="23"/>
      <c r="C320" s="40"/>
      <c r="D320" s="40"/>
      <c r="E320" s="41"/>
      <c r="F320" s="41"/>
      <c r="G320" s="41"/>
      <c r="H320" s="42"/>
      <c r="I320" s="42"/>
      <c r="J320" s="42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2"/>
      <c r="X320" s="42"/>
      <c r="Y320" s="42"/>
      <c r="Z320" s="42"/>
      <c r="AA320" s="42"/>
      <c r="AB320" s="42"/>
      <c r="AC320" s="36"/>
      <c r="AD320" s="36"/>
      <c r="AE320" s="36"/>
      <c r="AF320" s="42"/>
      <c r="AG320" s="36"/>
    </row>
    <row r="321" spans="1:33" s="44" customFormat="1" x14ac:dyDescent="0.3">
      <c r="A321" s="39"/>
      <c r="B321" s="23"/>
      <c r="C321" s="40"/>
      <c r="D321" s="40"/>
      <c r="E321" s="41"/>
      <c r="F321" s="41"/>
      <c r="G321" s="41"/>
      <c r="H321" s="42"/>
      <c r="I321" s="42"/>
      <c r="J321" s="42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2"/>
      <c r="X321" s="42"/>
      <c r="Y321" s="42"/>
      <c r="Z321" s="42"/>
      <c r="AA321" s="42"/>
      <c r="AB321" s="42"/>
      <c r="AC321" s="36"/>
      <c r="AD321" s="36"/>
      <c r="AE321" s="36"/>
      <c r="AF321" s="42"/>
      <c r="AG321" s="36"/>
    </row>
    <row r="322" spans="1:33" s="44" customFormat="1" x14ac:dyDescent="0.3">
      <c r="A322" s="39"/>
      <c r="B322" s="23"/>
      <c r="C322" s="40"/>
      <c r="D322" s="40"/>
      <c r="E322" s="41"/>
      <c r="F322" s="41"/>
      <c r="G322" s="41"/>
      <c r="H322" s="42"/>
      <c r="I322" s="42"/>
      <c r="J322" s="42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2"/>
      <c r="X322" s="42"/>
      <c r="Y322" s="42"/>
      <c r="Z322" s="42"/>
      <c r="AA322" s="42"/>
      <c r="AB322" s="42"/>
      <c r="AC322" s="36"/>
      <c r="AD322" s="36"/>
      <c r="AE322" s="36"/>
      <c r="AF322" s="42"/>
      <c r="AG322" s="36"/>
    </row>
    <row r="323" spans="1:33" s="44" customFormat="1" x14ac:dyDescent="0.3">
      <c r="A323" s="39"/>
      <c r="B323" s="23"/>
      <c r="C323" s="40"/>
      <c r="D323" s="40"/>
      <c r="E323" s="41"/>
      <c r="F323" s="41"/>
      <c r="G323" s="41"/>
      <c r="H323" s="42"/>
      <c r="I323" s="42"/>
      <c r="J323" s="42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2"/>
      <c r="X323" s="42"/>
      <c r="Y323" s="42"/>
      <c r="Z323" s="42"/>
      <c r="AA323" s="42"/>
      <c r="AB323" s="42"/>
      <c r="AC323" s="36"/>
      <c r="AD323" s="36"/>
      <c r="AE323" s="36"/>
      <c r="AF323" s="42"/>
      <c r="AG323" s="36"/>
    </row>
    <row r="324" spans="1:33" s="44" customFormat="1" x14ac:dyDescent="0.3">
      <c r="A324" s="39"/>
      <c r="B324" s="23"/>
      <c r="C324" s="40"/>
      <c r="D324" s="40"/>
      <c r="E324" s="41"/>
      <c r="F324" s="41"/>
      <c r="G324" s="41"/>
      <c r="H324" s="42"/>
      <c r="I324" s="42"/>
      <c r="J324" s="42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2"/>
      <c r="X324" s="42"/>
      <c r="Y324" s="42"/>
      <c r="Z324" s="42"/>
      <c r="AA324" s="42"/>
      <c r="AB324" s="42"/>
      <c r="AC324" s="36"/>
      <c r="AD324" s="36"/>
      <c r="AE324" s="36"/>
      <c r="AF324" s="42"/>
      <c r="AG324" s="36"/>
    </row>
    <row r="325" spans="1:33" s="44" customFormat="1" x14ac:dyDescent="0.3">
      <c r="A325" s="39"/>
      <c r="B325" s="23"/>
      <c r="C325" s="40"/>
      <c r="D325" s="40"/>
      <c r="E325" s="41"/>
      <c r="F325" s="41"/>
      <c r="G325" s="41"/>
      <c r="H325" s="42"/>
      <c r="I325" s="42"/>
      <c r="J325" s="42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2"/>
      <c r="X325" s="42"/>
      <c r="Y325" s="42"/>
      <c r="Z325" s="42"/>
      <c r="AA325" s="42"/>
      <c r="AB325" s="42"/>
      <c r="AC325" s="36"/>
      <c r="AD325" s="36"/>
      <c r="AE325" s="36"/>
      <c r="AF325" s="42"/>
      <c r="AG325" s="36"/>
    </row>
    <row r="326" spans="1:33" s="44" customFormat="1" x14ac:dyDescent="0.3">
      <c r="A326" s="39"/>
      <c r="B326" s="23"/>
      <c r="C326" s="40"/>
      <c r="D326" s="40"/>
      <c r="E326" s="41"/>
      <c r="F326" s="41"/>
      <c r="G326" s="41"/>
      <c r="H326" s="42"/>
      <c r="I326" s="42"/>
      <c r="J326" s="42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2"/>
      <c r="X326" s="42"/>
      <c r="Y326" s="42"/>
      <c r="Z326" s="42"/>
      <c r="AA326" s="42"/>
      <c r="AB326" s="42"/>
      <c r="AC326" s="36"/>
      <c r="AD326" s="36"/>
      <c r="AE326" s="36"/>
      <c r="AF326" s="42"/>
      <c r="AG326" s="36"/>
    </row>
    <row r="327" spans="1:33" s="44" customFormat="1" x14ac:dyDescent="0.3">
      <c r="A327" s="39"/>
      <c r="B327" s="23"/>
      <c r="C327" s="40"/>
      <c r="D327" s="40"/>
      <c r="E327" s="41"/>
      <c r="F327" s="41"/>
      <c r="G327" s="41"/>
      <c r="H327" s="42"/>
      <c r="I327" s="42"/>
      <c r="J327" s="42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2"/>
      <c r="X327" s="42"/>
      <c r="Y327" s="42"/>
      <c r="Z327" s="42"/>
      <c r="AA327" s="42"/>
      <c r="AB327" s="42"/>
      <c r="AC327" s="36"/>
      <c r="AD327" s="36"/>
      <c r="AE327" s="36"/>
      <c r="AF327" s="42"/>
      <c r="AG327" s="36"/>
    </row>
    <row r="328" spans="1:33" s="44" customFormat="1" x14ac:dyDescent="0.3">
      <c r="A328" s="39"/>
      <c r="B328" s="23"/>
      <c r="C328" s="40"/>
      <c r="D328" s="40"/>
      <c r="E328" s="41"/>
      <c r="F328" s="41"/>
      <c r="G328" s="41"/>
      <c r="H328" s="42"/>
      <c r="I328" s="42"/>
      <c r="J328" s="42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2"/>
      <c r="X328" s="42"/>
      <c r="Y328" s="42"/>
      <c r="Z328" s="42"/>
      <c r="AA328" s="42"/>
      <c r="AB328" s="42"/>
      <c r="AC328" s="36"/>
      <c r="AD328" s="36"/>
      <c r="AE328" s="36"/>
      <c r="AF328" s="42"/>
      <c r="AG328" s="36"/>
    </row>
    <row r="329" spans="1:33" s="44" customFormat="1" x14ac:dyDescent="0.3">
      <c r="A329" s="39"/>
      <c r="B329" s="23"/>
      <c r="C329" s="40"/>
      <c r="D329" s="40"/>
      <c r="E329" s="41"/>
      <c r="F329" s="41"/>
      <c r="G329" s="41"/>
      <c r="H329" s="42"/>
      <c r="I329" s="42"/>
      <c r="J329" s="42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2"/>
      <c r="X329" s="42"/>
      <c r="Y329" s="42"/>
      <c r="Z329" s="42"/>
      <c r="AA329" s="42"/>
      <c r="AB329" s="42"/>
      <c r="AC329" s="36"/>
      <c r="AD329" s="36"/>
      <c r="AE329" s="36"/>
      <c r="AF329" s="42"/>
      <c r="AG329" s="36"/>
    </row>
    <row r="330" spans="1:33" s="44" customFormat="1" x14ac:dyDescent="0.3">
      <c r="A330" s="39"/>
      <c r="B330" s="23"/>
      <c r="C330" s="40"/>
      <c r="D330" s="40"/>
      <c r="E330" s="41"/>
      <c r="F330" s="41"/>
      <c r="G330" s="41"/>
      <c r="H330" s="42"/>
      <c r="I330" s="42"/>
      <c r="J330" s="42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2"/>
      <c r="X330" s="42"/>
      <c r="Y330" s="42"/>
      <c r="Z330" s="42"/>
      <c r="AA330" s="42"/>
      <c r="AB330" s="42"/>
      <c r="AC330" s="36"/>
      <c r="AD330" s="36"/>
      <c r="AE330" s="36"/>
      <c r="AF330" s="42"/>
      <c r="AG330" s="36"/>
    </row>
    <row r="331" spans="1:33" s="44" customFormat="1" x14ac:dyDescent="0.3">
      <c r="B331" s="23"/>
      <c r="C331" s="40"/>
      <c r="D331" s="40"/>
      <c r="E331" s="41"/>
      <c r="F331" s="41"/>
      <c r="G331" s="41"/>
      <c r="H331" s="42"/>
      <c r="I331" s="42"/>
      <c r="J331" s="42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2"/>
      <c r="X331" s="42"/>
      <c r="Y331" s="42"/>
      <c r="Z331" s="42"/>
      <c r="AA331" s="42"/>
      <c r="AB331" s="42"/>
      <c r="AC331" s="36"/>
      <c r="AD331" s="36"/>
      <c r="AE331" s="36"/>
      <c r="AF331" s="42"/>
      <c r="AG331" s="36"/>
    </row>
    <row r="332" spans="1:33" s="44" customFormat="1" x14ac:dyDescent="0.3">
      <c r="B332" s="23"/>
      <c r="C332" s="40"/>
      <c r="D332" s="40"/>
      <c r="E332" s="41"/>
      <c r="F332" s="41"/>
      <c r="G332" s="41"/>
      <c r="H332" s="42"/>
      <c r="I332" s="42"/>
      <c r="J332" s="42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2"/>
      <c r="X332" s="42"/>
      <c r="Y332" s="42"/>
      <c r="Z332" s="42"/>
      <c r="AA332" s="42"/>
      <c r="AB332" s="42"/>
      <c r="AC332" s="36"/>
      <c r="AD332" s="36"/>
      <c r="AE332" s="36"/>
      <c r="AF332" s="42"/>
      <c r="AG332" s="36"/>
    </row>
    <row r="333" spans="1:33" s="44" customFormat="1" x14ac:dyDescent="0.3">
      <c r="B333" s="23"/>
      <c r="C333" s="40"/>
      <c r="D333" s="40"/>
      <c r="E333" s="41"/>
      <c r="F333" s="41"/>
      <c r="G333" s="41"/>
      <c r="H333" s="42"/>
      <c r="I333" s="42"/>
      <c r="J333" s="42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2"/>
      <c r="X333" s="42"/>
      <c r="Y333" s="42"/>
      <c r="Z333" s="42"/>
      <c r="AA333" s="42"/>
      <c r="AB333" s="42"/>
      <c r="AC333" s="36"/>
      <c r="AD333" s="36"/>
      <c r="AE333" s="36"/>
      <c r="AF333" s="42"/>
      <c r="AG333" s="36"/>
    </row>
    <row r="334" spans="1:33" s="44" customFormat="1" x14ac:dyDescent="0.3">
      <c r="B334" s="23"/>
      <c r="C334" s="40"/>
      <c r="D334" s="40"/>
      <c r="E334" s="41"/>
      <c r="F334" s="41"/>
      <c r="G334" s="41"/>
      <c r="H334" s="42"/>
      <c r="I334" s="42"/>
      <c r="J334" s="42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2"/>
      <c r="X334" s="42"/>
      <c r="Y334" s="42"/>
      <c r="Z334" s="42"/>
      <c r="AA334" s="42"/>
      <c r="AB334" s="42"/>
      <c r="AC334" s="36"/>
      <c r="AD334" s="36"/>
      <c r="AE334" s="36"/>
      <c r="AF334" s="42"/>
      <c r="AG334" s="36"/>
    </row>
    <row r="335" spans="1:33" s="44" customFormat="1" x14ac:dyDescent="0.3">
      <c r="B335" s="23"/>
      <c r="C335" s="40"/>
      <c r="D335" s="40"/>
      <c r="E335" s="41"/>
      <c r="F335" s="41"/>
      <c r="G335" s="41"/>
      <c r="H335" s="42"/>
      <c r="I335" s="42"/>
      <c r="J335" s="42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2"/>
      <c r="X335" s="42"/>
      <c r="Y335" s="42"/>
      <c r="Z335" s="42"/>
      <c r="AA335" s="42"/>
      <c r="AB335" s="42"/>
      <c r="AC335" s="36"/>
      <c r="AD335" s="36"/>
      <c r="AE335" s="36"/>
      <c r="AF335" s="42"/>
      <c r="AG335" s="36"/>
    </row>
    <row r="336" spans="1:33" s="44" customFormat="1" x14ac:dyDescent="0.3">
      <c r="B336" s="23"/>
      <c r="C336" s="40"/>
      <c r="D336" s="40"/>
      <c r="E336" s="41"/>
      <c r="F336" s="41"/>
      <c r="G336" s="41"/>
      <c r="H336" s="42"/>
      <c r="I336" s="42"/>
      <c r="J336" s="42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2"/>
      <c r="X336" s="42"/>
      <c r="Y336" s="42"/>
      <c r="Z336" s="42"/>
      <c r="AA336" s="42"/>
      <c r="AB336" s="42"/>
      <c r="AC336" s="36"/>
      <c r="AD336" s="36"/>
      <c r="AE336" s="36"/>
      <c r="AF336" s="42"/>
      <c r="AG336" s="36"/>
    </row>
    <row r="337" spans="2:33" s="44" customFormat="1" x14ac:dyDescent="0.3">
      <c r="B337" s="23"/>
      <c r="C337" s="40"/>
      <c r="D337" s="40"/>
      <c r="E337" s="41"/>
      <c r="F337" s="41"/>
      <c r="G337" s="41"/>
      <c r="H337" s="42"/>
      <c r="I337" s="42"/>
      <c r="J337" s="42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2"/>
      <c r="X337" s="42"/>
      <c r="Y337" s="42"/>
      <c r="Z337" s="42"/>
      <c r="AA337" s="42"/>
      <c r="AB337" s="42"/>
      <c r="AC337" s="36"/>
      <c r="AD337" s="36"/>
      <c r="AE337" s="36"/>
      <c r="AF337" s="42"/>
      <c r="AG337" s="36"/>
    </row>
    <row r="338" spans="2:33" s="44" customFormat="1" x14ac:dyDescent="0.3">
      <c r="B338" s="23"/>
      <c r="C338" s="40"/>
      <c r="D338" s="40"/>
      <c r="E338" s="41"/>
      <c r="F338" s="41"/>
      <c r="G338" s="41"/>
      <c r="H338" s="42"/>
      <c r="I338" s="42"/>
      <c r="J338" s="42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2"/>
      <c r="X338" s="42"/>
      <c r="Y338" s="42"/>
      <c r="Z338" s="42"/>
      <c r="AA338" s="42"/>
      <c r="AB338" s="42"/>
      <c r="AC338" s="36"/>
      <c r="AD338" s="36"/>
      <c r="AE338" s="36"/>
      <c r="AF338" s="42"/>
      <c r="AG338" s="36"/>
    </row>
    <row r="339" spans="2:33" s="44" customFormat="1" x14ac:dyDescent="0.3">
      <c r="B339" s="23"/>
      <c r="C339" s="40"/>
      <c r="D339" s="40"/>
      <c r="E339" s="41"/>
      <c r="F339" s="41"/>
      <c r="G339" s="41"/>
      <c r="H339" s="42"/>
      <c r="I339" s="42"/>
      <c r="J339" s="42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2"/>
      <c r="X339" s="42"/>
      <c r="Y339" s="42"/>
      <c r="Z339" s="42"/>
      <c r="AA339" s="42"/>
      <c r="AB339" s="42"/>
      <c r="AC339" s="36"/>
      <c r="AD339" s="36"/>
      <c r="AE339" s="36"/>
      <c r="AF339" s="42"/>
      <c r="AG339" s="36"/>
    </row>
    <row r="340" spans="2:33" s="44" customFormat="1" x14ac:dyDescent="0.3">
      <c r="B340" s="23"/>
      <c r="C340" s="40"/>
      <c r="D340" s="40"/>
      <c r="E340" s="41"/>
      <c r="F340" s="41"/>
      <c r="G340" s="41"/>
      <c r="H340" s="42"/>
      <c r="I340" s="42"/>
      <c r="J340" s="42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2"/>
      <c r="X340" s="42"/>
      <c r="Y340" s="42"/>
      <c r="Z340" s="42"/>
      <c r="AA340" s="42"/>
      <c r="AB340" s="42"/>
      <c r="AC340" s="36"/>
      <c r="AD340" s="36"/>
      <c r="AE340" s="36"/>
      <c r="AF340" s="42"/>
      <c r="AG340" s="36"/>
    </row>
    <row r="341" spans="2:33" s="44" customFormat="1" x14ac:dyDescent="0.3">
      <c r="B341" s="23"/>
      <c r="C341" s="40"/>
      <c r="D341" s="40"/>
      <c r="E341" s="41"/>
      <c r="F341" s="41"/>
      <c r="G341" s="41"/>
      <c r="H341" s="42"/>
      <c r="I341" s="42"/>
      <c r="J341" s="42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2"/>
      <c r="X341" s="42"/>
      <c r="Y341" s="42"/>
      <c r="Z341" s="42"/>
      <c r="AA341" s="42"/>
      <c r="AB341" s="42"/>
      <c r="AC341" s="36"/>
      <c r="AD341" s="36"/>
      <c r="AE341" s="36"/>
      <c r="AF341" s="42"/>
      <c r="AG341" s="36"/>
    </row>
    <row r="342" spans="2:33" s="44" customFormat="1" x14ac:dyDescent="0.3">
      <c r="B342" s="23"/>
      <c r="C342" s="40"/>
      <c r="D342" s="40"/>
      <c r="E342" s="41"/>
      <c r="F342" s="41"/>
      <c r="G342" s="41"/>
      <c r="H342" s="42"/>
      <c r="I342" s="42"/>
      <c r="J342" s="42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2"/>
      <c r="X342" s="42"/>
      <c r="Y342" s="42"/>
      <c r="Z342" s="42"/>
      <c r="AA342" s="42"/>
      <c r="AB342" s="42"/>
      <c r="AC342" s="36"/>
      <c r="AD342" s="36"/>
      <c r="AE342" s="36"/>
      <c r="AF342" s="42"/>
      <c r="AG342" s="36"/>
    </row>
    <row r="343" spans="2:33" s="44" customFormat="1" x14ac:dyDescent="0.3">
      <c r="B343" s="23"/>
      <c r="C343" s="40"/>
      <c r="D343" s="40"/>
      <c r="E343" s="41"/>
      <c r="F343" s="41"/>
      <c r="G343" s="41"/>
      <c r="H343" s="42"/>
      <c r="I343" s="42"/>
      <c r="J343" s="42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2"/>
      <c r="X343" s="42"/>
      <c r="Y343" s="42"/>
      <c r="Z343" s="42"/>
      <c r="AA343" s="42"/>
      <c r="AB343" s="42"/>
      <c r="AC343" s="36"/>
      <c r="AD343" s="36"/>
      <c r="AE343" s="36"/>
      <c r="AF343" s="42"/>
      <c r="AG343" s="36"/>
    </row>
    <row r="344" spans="2:33" s="44" customFormat="1" x14ac:dyDescent="0.3">
      <c r="B344" s="23"/>
      <c r="C344" s="40"/>
      <c r="D344" s="40"/>
      <c r="E344" s="41"/>
      <c r="F344" s="41"/>
      <c r="G344" s="41"/>
      <c r="H344" s="42"/>
      <c r="I344" s="42"/>
      <c r="J344" s="42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2"/>
      <c r="X344" s="42"/>
      <c r="Y344" s="42"/>
      <c r="Z344" s="42"/>
      <c r="AA344" s="42"/>
      <c r="AB344" s="42"/>
      <c r="AC344" s="36"/>
      <c r="AD344" s="36"/>
      <c r="AE344" s="36"/>
      <c r="AF344" s="42"/>
      <c r="AG344" s="36"/>
    </row>
    <row r="345" spans="2:33" s="44" customFormat="1" x14ac:dyDescent="0.3">
      <c r="B345" s="23"/>
      <c r="C345" s="40"/>
      <c r="D345" s="40"/>
      <c r="E345" s="41"/>
      <c r="F345" s="41"/>
      <c r="G345" s="41"/>
      <c r="H345" s="42"/>
      <c r="I345" s="42"/>
      <c r="J345" s="42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2"/>
      <c r="X345" s="42"/>
      <c r="Y345" s="42"/>
      <c r="Z345" s="42"/>
      <c r="AA345" s="42"/>
      <c r="AB345" s="42"/>
      <c r="AC345" s="36"/>
      <c r="AD345" s="36"/>
      <c r="AE345" s="36"/>
      <c r="AF345" s="42"/>
      <c r="AG345" s="36"/>
    </row>
    <row r="346" spans="2:33" s="44" customFormat="1" x14ac:dyDescent="0.3">
      <c r="B346" s="23"/>
      <c r="C346" s="40"/>
      <c r="D346" s="40"/>
      <c r="E346" s="41"/>
      <c r="F346" s="41"/>
      <c r="G346" s="41"/>
      <c r="H346" s="42"/>
      <c r="I346" s="42"/>
      <c r="J346" s="42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2"/>
      <c r="X346" s="42"/>
      <c r="Y346" s="42"/>
      <c r="Z346" s="42"/>
      <c r="AA346" s="42"/>
      <c r="AB346" s="42"/>
      <c r="AC346" s="36"/>
      <c r="AD346" s="36"/>
      <c r="AE346" s="36"/>
      <c r="AF346" s="42"/>
      <c r="AG346" s="36"/>
    </row>
    <row r="347" spans="2:33" s="44" customFormat="1" x14ac:dyDescent="0.3">
      <c r="B347" s="23"/>
      <c r="C347" s="40"/>
      <c r="D347" s="40"/>
      <c r="E347" s="41"/>
      <c r="F347" s="41"/>
      <c r="G347" s="41"/>
      <c r="H347" s="42"/>
      <c r="I347" s="42"/>
      <c r="J347" s="42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2"/>
      <c r="X347" s="42"/>
      <c r="Y347" s="42"/>
      <c r="Z347" s="42"/>
      <c r="AA347" s="42"/>
      <c r="AB347" s="42"/>
      <c r="AC347" s="36"/>
      <c r="AD347" s="36"/>
      <c r="AE347" s="36"/>
      <c r="AF347" s="42"/>
      <c r="AG347" s="36"/>
    </row>
    <row r="348" spans="2:33" s="44" customFormat="1" x14ac:dyDescent="0.3">
      <c r="B348" s="23"/>
      <c r="C348" s="40"/>
      <c r="D348" s="40"/>
      <c r="E348" s="41"/>
      <c r="F348" s="41"/>
      <c r="G348" s="41"/>
      <c r="H348" s="42"/>
      <c r="I348" s="42"/>
      <c r="J348" s="42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2"/>
      <c r="X348" s="42"/>
      <c r="Y348" s="42"/>
      <c r="Z348" s="42"/>
      <c r="AA348" s="42"/>
      <c r="AB348" s="42"/>
      <c r="AC348" s="36"/>
      <c r="AD348" s="36"/>
      <c r="AE348" s="36"/>
      <c r="AF348" s="42"/>
      <c r="AG348" s="36"/>
    </row>
    <row r="349" spans="2:33" s="44" customFormat="1" x14ac:dyDescent="0.3">
      <c r="B349" s="23"/>
      <c r="C349" s="40"/>
      <c r="D349" s="40"/>
      <c r="E349" s="41"/>
      <c r="F349" s="41"/>
      <c r="G349" s="41"/>
      <c r="H349" s="42"/>
      <c r="I349" s="42"/>
      <c r="J349" s="42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2"/>
      <c r="X349" s="42"/>
      <c r="Y349" s="42"/>
      <c r="Z349" s="42"/>
      <c r="AA349" s="42"/>
      <c r="AB349" s="42"/>
      <c r="AC349" s="36"/>
      <c r="AD349" s="36"/>
      <c r="AE349" s="36"/>
      <c r="AF349" s="42"/>
      <c r="AG349" s="36"/>
    </row>
    <row r="350" spans="2:33" s="44" customFormat="1" x14ac:dyDescent="0.3">
      <c r="B350" s="23"/>
      <c r="C350" s="40"/>
      <c r="D350" s="40"/>
      <c r="E350" s="41"/>
      <c r="F350" s="41"/>
      <c r="G350" s="41"/>
      <c r="H350" s="42"/>
      <c r="I350" s="42"/>
      <c r="J350" s="42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2"/>
      <c r="X350" s="42"/>
      <c r="Y350" s="42"/>
      <c r="Z350" s="42"/>
      <c r="AA350" s="42"/>
      <c r="AB350" s="42"/>
      <c r="AC350" s="36"/>
      <c r="AD350" s="36"/>
      <c r="AE350" s="36"/>
      <c r="AF350" s="42"/>
      <c r="AG350" s="36"/>
    </row>
    <row r="351" spans="2:33" s="44" customFormat="1" x14ac:dyDescent="0.3">
      <c r="B351" s="23"/>
      <c r="C351" s="40"/>
      <c r="D351" s="40"/>
      <c r="E351" s="41"/>
      <c r="F351" s="41"/>
      <c r="G351" s="41"/>
      <c r="H351" s="42"/>
      <c r="I351" s="42"/>
      <c r="J351" s="42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2"/>
      <c r="X351" s="42"/>
      <c r="Y351" s="42"/>
      <c r="Z351" s="42"/>
      <c r="AA351" s="42"/>
      <c r="AB351" s="42"/>
      <c r="AC351" s="36"/>
      <c r="AD351" s="36"/>
      <c r="AE351" s="36"/>
      <c r="AF351" s="42"/>
      <c r="AG351" s="36"/>
    </row>
    <row r="352" spans="2:33" s="44" customFormat="1" x14ac:dyDescent="0.3">
      <c r="B352" s="23"/>
      <c r="C352" s="40"/>
      <c r="D352" s="40"/>
      <c r="E352" s="41"/>
      <c r="F352" s="41"/>
      <c r="G352" s="41"/>
      <c r="H352" s="42"/>
      <c r="I352" s="42"/>
      <c r="J352" s="42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2"/>
      <c r="X352" s="42"/>
      <c r="Y352" s="42"/>
      <c r="Z352" s="42"/>
      <c r="AA352" s="42"/>
      <c r="AB352" s="42"/>
      <c r="AC352" s="36"/>
      <c r="AD352" s="36"/>
      <c r="AE352" s="36"/>
      <c r="AF352" s="42"/>
      <c r="AG352" s="36"/>
    </row>
    <row r="353" spans="2:33" s="44" customFormat="1" x14ac:dyDescent="0.3">
      <c r="B353" s="23"/>
      <c r="C353" s="40"/>
      <c r="D353" s="40"/>
      <c r="E353" s="41"/>
      <c r="F353" s="41"/>
      <c r="G353" s="41"/>
      <c r="H353" s="42"/>
      <c r="I353" s="42"/>
      <c r="J353" s="42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2"/>
      <c r="X353" s="42"/>
      <c r="Y353" s="42"/>
      <c r="Z353" s="42"/>
      <c r="AA353" s="42"/>
      <c r="AB353" s="42"/>
      <c r="AC353" s="36"/>
      <c r="AD353" s="36"/>
      <c r="AE353" s="36"/>
      <c r="AF353" s="42"/>
      <c r="AG353" s="36"/>
    </row>
    <row r="354" spans="2:33" s="44" customFormat="1" x14ac:dyDescent="0.3">
      <c r="B354" s="23"/>
      <c r="C354" s="40"/>
      <c r="D354" s="40"/>
      <c r="E354" s="41"/>
      <c r="F354" s="41"/>
      <c r="G354" s="41"/>
      <c r="H354" s="42"/>
      <c r="I354" s="42"/>
      <c r="J354" s="42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2"/>
      <c r="X354" s="42"/>
      <c r="Y354" s="42"/>
      <c r="Z354" s="42"/>
      <c r="AA354" s="42"/>
      <c r="AB354" s="42"/>
      <c r="AC354" s="36"/>
      <c r="AD354" s="36"/>
      <c r="AE354" s="36"/>
      <c r="AF354" s="42"/>
      <c r="AG354" s="36"/>
    </row>
    <row r="355" spans="2:33" s="44" customFormat="1" x14ac:dyDescent="0.3">
      <c r="B355" s="23"/>
      <c r="C355" s="40"/>
      <c r="D355" s="40"/>
      <c r="E355" s="41"/>
      <c r="F355" s="41"/>
      <c r="G355" s="41"/>
      <c r="H355" s="42"/>
      <c r="I355" s="42"/>
      <c r="J355" s="42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2"/>
      <c r="X355" s="42"/>
      <c r="Y355" s="42"/>
      <c r="Z355" s="42"/>
      <c r="AA355" s="42"/>
      <c r="AB355" s="42"/>
      <c r="AC355" s="36"/>
      <c r="AD355" s="36"/>
      <c r="AE355" s="36"/>
      <c r="AF355" s="42"/>
      <c r="AG355" s="36"/>
    </row>
    <row r="356" spans="2:33" s="44" customFormat="1" x14ac:dyDescent="0.3">
      <c r="B356" s="23"/>
      <c r="C356" s="40"/>
      <c r="D356" s="40"/>
      <c r="E356" s="41"/>
      <c r="F356" s="41"/>
      <c r="G356" s="41"/>
      <c r="H356" s="42"/>
      <c r="I356" s="42"/>
      <c r="J356" s="42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2"/>
      <c r="X356" s="42"/>
      <c r="Y356" s="42"/>
      <c r="Z356" s="42"/>
      <c r="AA356" s="42"/>
      <c r="AB356" s="42"/>
      <c r="AC356" s="36"/>
      <c r="AD356" s="36"/>
      <c r="AE356" s="36"/>
      <c r="AF356" s="42"/>
      <c r="AG356" s="36"/>
    </row>
    <row r="357" spans="2:33" s="44" customFormat="1" x14ac:dyDescent="0.3">
      <c r="B357" s="23"/>
      <c r="C357" s="40"/>
      <c r="D357" s="40"/>
      <c r="E357" s="41"/>
      <c r="F357" s="41"/>
      <c r="G357" s="41"/>
      <c r="H357" s="42"/>
      <c r="I357" s="42"/>
      <c r="J357" s="42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2"/>
      <c r="X357" s="42"/>
      <c r="Y357" s="42"/>
      <c r="Z357" s="42"/>
      <c r="AA357" s="42"/>
      <c r="AB357" s="42"/>
      <c r="AC357" s="36"/>
      <c r="AD357" s="36"/>
      <c r="AE357" s="36"/>
      <c r="AF357" s="42"/>
      <c r="AG357" s="36"/>
    </row>
    <row r="358" spans="2:33" s="44" customFormat="1" x14ac:dyDescent="0.3">
      <c r="B358" s="23"/>
      <c r="C358" s="40"/>
      <c r="D358" s="40"/>
      <c r="E358" s="41"/>
      <c r="F358" s="41"/>
      <c r="G358" s="41"/>
      <c r="H358" s="42"/>
      <c r="I358" s="42"/>
      <c r="J358" s="42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2"/>
      <c r="X358" s="42"/>
      <c r="Y358" s="42"/>
      <c r="Z358" s="42"/>
      <c r="AA358" s="42"/>
      <c r="AB358" s="42"/>
      <c r="AC358" s="36"/>
      <c r="AD358" s="36"/>
      <c r="AE358" s="36"/>
      <c r="AF358" s="42"/>
      <c r="AG358" s="36"/>
    </row>
    <row r="359" spans="2:33" s="44" customFormat="1" x14ac:dyDescent="0.3">
      <c r="B359" s="23"/>
      <c r="C359" s="40"/>
      <c r="D359" s="40"/>
      <c r="E359" s="41"/>
      <c r="F359" s="41"/>
      <c r="G359" s="41"/>
      <c r="H359" s="42"/>
      <c r="I359" s="42"/>
      <c r="J359" s="42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2"/>
      <c r="X359" s="42"/>
      <c r="Y359" s="42"/>
      <c r="Z359" s="42"/>
      <c r="AA359" s="42"/>
      <c r="AB359" s="42"/>
      <c r="AC359" s="36"/>
      <c r="AD359" s="36"/>
      <c r="AE359" s="36"/>
      <c r="AF359" s="42"/>
      <c r="AG359" s="36"/>
    </row>
    <row r="360" spans="2:33" s="44" customFormat="1" x14ac:dyDescent="0.3">
      <c r="B360" s="23"/>
      <c r="C360" s="40"/>
      <c r="D360" s="40"/>
      <c r="E360" s="41"/>
      <c r="F360" s="41"/>
      <c r="G360" s="41"/>
      <c r="H360" s="42"/>
      <c r="I360" s="42"/>
      <c r="J360" s="42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2"/>
      <c r="X360" s="42"/>
      <c r="Y360" s="42"/>
      <c r="Z360" s="42"/>
      <c r="AA360" s="42"/>
      <c r="AB360" s="42"/>
      <c r="AC360" s="36"/>
      <c r="AD360" s="36"/>
      <c r="AE360" s="36"/>
      <c r="AF360" s="42"/>
      <c r="AG360" s="36"/>
    </row>
    <row r="361" spans="2:33" s="44" customFormat="1" x14ac:dyDescent="0.3">
      <c r="B361" s="23"/>
      <c r="C361" s="40"/>
      <c r="D361" s="40"/>
      <c r="E361" s="41"/>
      <c r="F361" s="41"/>
      <c r="G361" s="41"/>
      <c r="H361" s="42"/>
      <c r="I361" s="42"/>
      <c r="J361" s="42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2"/>
      <c r="X361" s="42"/>
      <c r="Y361" s="42"/>
      <c r="Z361" s="42"/>
      <c r="AA361" s="42"/>
      <c r="AB361" s="42"/>
      <c r="AC361" s="36"/>
      <c r="AD361" s="36"/>
      <c r="AE361" s="36"/>
      <c r="AF361" s="42"/>
      <c r="AG361" s="36"/>
    </row>
    <row r="362" spans="2:33" s="44" customFormat="1" x14ac:dyDescent="0.3">
      <c r="B362" s="23"/>
      <c r="C362" s="40"/>
      <c r="D362" s="40"/>
      <c r="E362" s="41"/>
      <c r="F362" s="41"/>
      <c r="G362" s="41"/>
      <c r="H362" s="42"/>
      <c r="I362" s="42"/>
      <c r="J362" s="42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2"/>
      <c r="X362" s="42"/>
      <c r="Y362" s="42"/>
      <c r="Z362" s="42"/>
      <c r="AA362" s="42"/>
      <c r="AB362" s="42"/>
      <c r="AC362" s="36"/>
      <c r="AD362" s="36"/>
      <c r="AE362" s="36"/>
      <c r="AF362" s="42"/>
      <c r="AG362" s="36"/>
    </row>
    <row r="363" spans="2:33" s="44" customFormat="1" x14ac:dyDescent="0.3">
      <c r="B363" s="23"/>
      <c r="C363" s="40"/>
      <c r="D363" s="40"/>
      <c r="E363" s="41"/>
      <c r="F363" s="41"/>
      <c r="G363" s="41"/>
      <c r="H363" s="42"/>
      <c r="I363" s="42"/>
      <c r="J363" s="42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2"/>
      <c r="X363" s="42"/>
      <c r="Y363" s="42"/>
      <c r="Z363" s="42"/>
      <c r="AA363" s="42"/>
      <c r="AB363" s="42"/>
      <c r="AC363" s="36"/>
      <c r="AD363" s="36"/>
      <c r="AE363" s="36"/>
      <c r="AF363" s="42"/>
      <c r="AG363" s="36"/>
    </row>
    <row r="364" spans="2:33" s="44" customFormat="1" x14ac:dyDescent="0.3">
      <c r="B364" s="23"/>
      <c r="C364" s="40"/>
      <c r="D364" s="40"/>
      <c r="E364" s="41"/>
      <c r="F364" s="41"/>
      <c r="G364" s="41"/>
      <c r="H364" s="42"/>
      <c r="I364" s="42"/>
      <c r="J364" s="42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2"/>
      <c r="X364" s="42"/>
      <c r="Y364" s="42"/>
      <c r="Z364" s="42"/>
      <c r="AA364" s="42"/>
      <c r="AB364" s="42"/>
      <c r="AC364" s="36"/>
      <c r="AD364" s="36"/>
      <c r="AE364" s="36"/>
      <c r="AF364" s="42"/>
      <c r="AG364" s="36"/>
    </row>
    <row r="365" spans="2:33" s="44" customFormat="1" x14ac:dyDescent="0.3">
      <c r="B365" s="23"/>
      <c r="C365" s="40"/>
      <c r="D365" s="40"/>
      <c r="E365" s="41"/>
      <c r="F365" s="41"/>
      <c r="G365" s="41"/>
      <c r="H365" s="42"/>
      <c r="I365" s="42"/>
      <c r="J365" s="42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2"/>
      <c r="X365" s="42"/>
      <c r="Y365" s="42"/>
      <c r="Z365" s="42"/>
      <c r="AA365" s="42"/>
      <c r="AB365" s="42"/>
      <c r="AC365" s="36"/>
      <c r="AD365" s="36"/>
      <c r="AE365" s="36"/>
      <c r="AF365" s="42"/>
      <c r="AG365" s="36"/>
    </row>
    <row r="366" spans="2:33" s="44" customFormat="1" x14ac:dyDescent="0.3">
      <c r="B366" s="23"/>
      <c r="C366" s="40"/>
      <c r="D366" s="40"/>
      <c r="E366" s="41"/>
      <c r="F366" s="41"/>
      <c r="G366" s="41"/>
      <c r="H366" s="42"/>
      <c r="I366" s="42"/>
      <c r="J366" s="42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2"/>
      <c r="X366" s="42"/>
      <c r="Y366" s="42"/>
      <c r="Z366" s="42"/>
      <c r="AA366" s="42"/>
      <c r="AB366" s="42"/>
      <c r="AC366" s="36"/>
      <c r="AD366" s="36"/>
      <c r="AE366" s="36"/>
      <c r="AF366" s="42"/>
      <c r="AG366" s="36"/>
    </row>
    <row r="367" spans="2:33" s="44" customFormat="1" x14ac:dyDescent="0.3">
      <c r="B367" s="23"/>
      <c r="C367" s="40"/>
      <c r="D367" s="40"/>
      <c r="E367" s="41"/>
      <c r="F367" s="41"/>
      <c r="G367" s="41"/>
      <c r="H367" s="42"/>
      <c r="I367" s="42"/>
      <c r="J367" s="42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2"/>
      <c r="X367" s="42"/>
      <c r="Y367" s="42"/>
      <c r="Z367" s="42"/>
      <c r="AA367" s="42"/>
      <c r="AB367" s="42"/>
      <c r="AC367" s="36"/>
      <c r="AD367" s="36"/>
      <c r="AE367" s="36"/>
      <c r="AF367" s="42"/>
      <c r="AG367" s="36"/>
    </row>
    <row r="368" spans="2:33" s="44" customFormat="1" x14ac:dyDescent="0.3">
      <c r="B368" s="23"/>
      <c r="C368" s="40"/>
      <c r="D368" s="40"/>
      <c r="E368" s="41"/>
      <c r="F368" s="41"/>
      <c r="G368" s="41"/>
      <c r="H368" s="42"/>
      <c r="I368" s="42"/>
      <c r="J368" s="42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2"/>
      <c r="X368" s="42"/>
      <c r="Y368" s="42"/>
      <c r="Z368" s="42"/>
      <c r="AA368" s="42"/>
      <c r="AB368" s="42"/>
      <c r="AC368" s="36"/>
      <c r="AD368" s="36"/>
      <c r="AE368" s="36"/>
      <c r="AF368" s="42"/>
      <c r="AG368" s="36"/>
    </row>
    <row r="369" spans="2:33" s="44" customFormat="1" x14ac:dyDescent="0.3">
      <c r="B369" s="23"/>
      <c r="C369" s="40"/>
      <c r="D369" s="40"/>
      <c r="E369" s="41"/>
      <c r="F369" s="41"/>
      <c r="G369" s="41"/>
      <c r="H369" s="42"/>
      <c r="I369" s="42"/>
      <c r="J369" s="42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2"/>
      <c r="X369" s="42"/>
      <c r="Y369" s="42"/>
      <c r="Z369" s="42"/>
      <c r="AA369" s="42"/>
      <c r="AB369" s="42"/>
      <c r="AC369" s="36"/>
      <c r="AD369" s="36"/>
      <c r="AE369" s="36"/>
      <c r="AF369" s="42"/>
      <c r="AG369" s="36"/>
    </row>
    <row r="370" spans="2:33" s="44" customFormat="1" x14ac:dyDescent="0.3">
      <c r="B370" s="23"/>
      <c r="C370" s="40"/>
      <c r="D370" s="40"/>
      <c r="E370" s="41"/>
      <c r="F370" s="41"/>
      <c r="G370" s="41"/>
      <c r="H370" s="42"/>
      <c r="I370" s="42"/>
      <c r="J370" s="42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2"/>
      <c r="X370" s="42"/>
      <c r="Y370" s="42"/>
      <c r="Z370" s="42"/>
      <c r="AA370" s="42"/>
      <c r="AB370" s="42"/>
      <c r="AC370" s="36"/>
      <c r="AD370" s="36"/>
      <c r="AE370" s="36"/>
      <c r="AF370" s="42"/>
      <c r="AG370" s="36"/>
    </row>
    <row r="371" spans="2:33" s="44" customFormat="1" x14ac:dyDescent="0.3">
      <c r="B371" s="23"/>
      <c r="C371" s="40"/>
      <c r="D371" s="40"/>
      <c r="E371" s="41"/>
      <c r="F371" s="41"/>
      <c r="G371" s="41"/>
      <c r="H371" s="42"/>
      <c r="I371" s="42"/>
      <c r="J371" s="42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2"/>
      <c r="X371" s="42"/>
      <c r="Y371" s="42"/>
      <c r="Z371" s="42"/>
      <c r="AA371" s="42"/>
      <c r="AB371" s="42"/>
      <c r="AC371" s="36"/>
      <c r="AD371" s="36"/>
      <c r="AE371" s="36"/>
      <c r="AF371" s="42"/>
      <c r="AG371" s="36"/>
    </row>
    <row r="372" spans="2:33" s="44" customFormat="1" x14ac:dyDescent="0.3">
      <c r="B372" s="23"/>
      <c r="C372" s="40"/>
      <c r="D372" s="40"/>
      <c r="E372" s="41"/>
      <c r="F372" s="41"/>
      <c r="G372" s="41"/>
      <c r="H372" s="42"/>
      <c r="I372" s="42"/>
      <c r="J372" s="42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2"/>
      <c r="X372" s="42"/>
      <c r="Y372" s="42"/>
      <c r="Z372" s="42"/>
      <c r="AA372" s="42"/>
      <c r="AB372" s="42"/>
      <c r="AC372" s="36"/>
      <c r="AD372" s="36"/>
      <c r="AE372" s="36"/>
      <c r="AF372" s="42"/>
      <c r="AG372" s="36"/>
    </row>
    <row r="373" spans="2:33" s="44" customFormat="1" x14ac:dyDescent="0.3">
      <c r="B373" s="23"/>
      <c r="C373" s="40"/>
      <c r="D373" s="40"/>
      <c r="E373" s="41"/>
      <c r="F373" s="41"/>
      <c r="G373" s="41"/>
      <c r="H373" s="42"/>
      <c r="I373" s="42"/>
      <c r="J373" s="42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2"/>
      <c r="X373" s="42"/>
      <c r="Y373" s="42"/>
      <c r="Z373" s="42"/>
      <c r="AA373" s="42"/>
      <c r="AB373" s="42"/>
      <c r="AC373" s="36"/>
      <c r="AD373" s="36"/>
      <c r="AE373" s="36"/>
      <c r="AF373" s="42"/>
      <c r="AG373" s="36"/>
    </row>
    <row r="374" spans="2:33" s="44" customFormat="1" x14ac:dyDescent="0.3">
      <c r="B374" s="23"/>
      <c r="C374" s="40"/>
      <c r="D374" s="40"/>
      <c r="E374" s="41"/>
      <c r="F374" s="41"/>
      <c r="G374" s="41"/>
      <c r="H374" s="42"/>
      <c r="I374" s="42"/>
      <c r="J374" s="42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2"/>
      <c r="X374" s="42"/>
      <c r="Y374" s="42"/>
      <c r="Z374" s="42"/>
      <c r="AA374" s="42"/>
      <c r="AB374" s="42"/>
      <c r="AC374" s="36"/>
      <c r="AD374" s="36"/>
      <c r="AE374" s="36"/>
      <c r="AF374" s="42"/>
      <c r="AG374" s="36"/>
    </row>
    <row r="375" spans="2:33" s="44" customFormat="1" x14ac:dyDescent="0.3">
      <c r="B375" s="23"/>
      <c r="C375" s="40"/>
      <c r="D375" s="40"/>
      <c r="E375" s="41"/>
      <c r="F375" s="41"/>
      <c r="G375" s="41"/>
      <c r="H375" s="42"/>
      <c r="I375" s="42"/>
      <c r="J375" s="42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2"/>
      <c r="X375" s="42"/>
      <c r="Y375" s="42"/>
      <c r="Z375" s="42"/>
      <c r="AA375" s="42"/>
      <c r="AB375" s="42"/>
      <c r="AC375" s="36"/>
      <c r="AD375" s="36"/>
      <c r="AE375" s="36"/>
      <c r="AF375" s="42"/>
      <c r="AG375" s="36"/>
    </row>
    <row r="376" spans="2:33" s="44" customFormat="1" x14ac:dyDescent="0.3">
      <c r="B376" s="23"/>
      <c r="C376" s="40"/>
      <c r="D376" s="40"/>
      <c r="E376" s="41"/>
      <c r="F376" s="41"/>
      <c r="G376" s="41"/>
      <c r="H376" s="42"/>
      <c r="I376" s="42"/>
      <c r="J376" s="42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2"/>
      <c r="X376" s="42"/>
      <c r="Y376" s="42"/>
      <c r="Z376" s="42"/>
      <c r="AA376" s="42"/>
      <c r="AB376" s="42"/>
      <c r="AC376" s="36"/>
      <c r="AD376" s="36"/>
      <c r="AE376" s="36"/>
      <c r="AF376" s="42"/>
      <c r="AG376" s="36"/>
    </row>
    <row r="377" spans="2:33" s="44" customFormat="1" x14ac:dyDescent="0.3">
      <c r="B377" s="23"/>
      <c r="C377" s="40"/>
      <c r="D377" s="40"/>
      <c r="E377" s="41"/>
      <c r="F377" s="41"/>
      <c r="G377" s="41"/>
      <c r="H377" s="42"/>
      <c r="I377" s="42"/>
      <c r="J377" s="42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2"/>
      <c r="X377" s="42"/>
      <c r="Y377" s="42"/>
      <c r="Z377" s="42"/>
      <c r="AA377" s="42"/>
      <c r="AB377" s="42"/>
      <c r="AC377" s="36"/>
      <c r="AD377" s="36"/>
      <c r="AE377" s="36"/>
      <c r="AF377" s="42"/>
      <c r="AG377" s="36"/>
    </row>
    <row r="378" spans="2:33" s="44" customFormat="1" x14ac:dyDescent="0.3">
      <c r="B378" s="23"/>
      <c r="C378" s="40"/>
      <c r="D378" s="40"/>
      <c r="E378" s="41"/>
      <c r="F378" s="41"/>
      <c r="G378" s="41"/>
      <c r="H378" s="42"/>
      <c r="I378" s="42"/>
      <c r="J378" s="42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2"/>
      <c r="X378" s="42"/>
      <c r="Y378" s="42"/>
      <c r="Z378" s="42"/>
      <c r="AA378" s="42"/>
      <c r="AB378" s="42"/>
      <c r="AC378" s="36"/>
      <c r="AD378" s="36"/>
      <c r="AE378" s="36"/>
      <c r="AF378" s="42"/>
      <c r="AG378" s="36"/>
    </row>
    <row r="379" spans="2:33" s="44" customFormat="1" x14ac:dyDescent="0.3">
      <c r="B379" s="23"/>
      <c r="C379" s="40"/>
      <c r="D379" s="40"/>
      <c r="E379" s="41"/>
      <c r="F379" s="41"/>
      <c r="G379" s="41"/>
      <c r="H379" s="42"/>
      <c r="I379" s="42"/>
      <c r="J379" s="42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2"/>
      <c r="X379" s="42"/>
      <c r="Y379" s="42"/>
      <c r="Z379" s="42"/>
      <c r="AA379" s="42"/>
      <c r="AB379" s="42"/>
      <c r="AC379" s="36"/>
      <c r="AD379" s="36"/>
      <c r="AE379" s="36"/>
      <c r="AF379" s="42"/>
      <c r="AG379" s="36"/>
    </row>
    <row r="380" spans="2:33" s="44" customFormat="1" x14ac:dyDescent="0.3">
      <c r="B380" s="23"/>
      <c r="C380" s="40"/>
      <c r="D380" s="40"/>
      <c r="E380" s="41"/>
      <c r="F380" s="41"/>
      <c r="G380" s="41"/>
      <c r="H380" s="42"/>
      <c r="I380" s="42"/>
      <c r="J380" s="42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2"/>
      <c r="X380" s="42"/>
      <c r="Y380" s="42"/>
      <c r="Z380" s="42"/>
      <c r="AA380" s="42"/>
      <c r="AB380" s="42"/>
      <c r="AC380" s="36"/>
      <c r="AD380" s="36"/>
      <c r="AE380" s="36"/>
      <c r="AF380" s="42"/>
      <c r="AG380" s="36"/>
    </row>
    <row r="381" spans="2:33" s="44" customFormat="1" x14ac:dyDescent="0.3">
      <c r="B381" s="23"/>
      <c r="C381" s="40"/>
      <c r="D381" s="40"/>
      <c r="E381" s="41"/>
      <c r="F381" s="41"/>
      <c r="G381" s="41"/>
      <c r="H381" s="42"/>
      <c r="I381" s="42"/>
      <c r="J381" s="42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2"/>
      <c r="X381" s="42"/>
      <c r="Y381" s="42"/>
      <c r="Z381" s="42"/>
      <c r="AA381" s="42"/>
      <c r="AB381" s="42"/>
      <c r="AC381" s="36"/>
      <c r="AD381" s="36"/>
      <c r="AE381" s="36"/>
      <c r="AF381" s="42"/>
      <c r="AG381" s="36"/>
    </row>
    <row r="382" spans="2:33" s="44" customFormat="1" x14ac:dyDescent="0.3">
      <c r="B382" s="23"/>
      <c r="C382" s="40"/>
      <c r="D382" s="40"/>
      <c r="E382" s="41"/>
      <c r="F382" s="41"/>
      <c r="G382" s="41"/>
      <c r="H382" s="42"/>
      <c r="I382" s="42"/>
      <c r="J382" s="42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2"/>
      <c r="X382" s="42"/>
      <c r="Y382" s="42"/>
      <c r="Z382" s="42"/>
      <c r="AA382" s="42"/>
      <c r="AB382" s="42"/>
      <c r="AC382" s="36"/>
      <c r="AD382" s="36"/>
      <c r="AE382" s="36"/>
      <c r="AF382" s="42"/>
      <c r="AG382" s="36"/>
    </row>
    <row r="383" spans="2:33" s="44" customFormat="1" x14ac:dyDescent="0.3">
      <c r="B383" s="23"/>
      <c r="C383" s="40"/>
      <c r="D383" s="40"/>
      <c r="E383" s="41"/>
      <c r="F383" s="41"/>
      <c r="G383" s="41"/>
      <c r="H383" s="42"/>
      <c r="I383" s="42"/>
      <c r="J383" s="42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2"/>
      <c r="X383" s="42"/>
      <c r="Y383" s="42"/>
      <c r="Z383" s="42"/>
      <c r="AA383" s="42"/>
      <c r="AB383" s="42"/>
      <c r="AC383" s="36"/>
      <c r="AD383" s="36"/>
      <c r="AE383" s="36"/>
      <c r="AF383" s="42"/>
      <c r="AG383" s="36"/>
    </row>
    <row r="384" spans="2:33" s="44" customFormat="1" x14ac:dyDescent="0.3">
      <c r="B384" s="23"/>
      <c r="C384" s="40"/>
      <c r="D384" s="40"/>
      <c r="E384" s="41"/>
      <c r="F384" s="41"/>
      <c r="G384" s="41"/>
      <c r="H384" s="42"/>
      <c r="I384" s="42"/>
      <c r="J384" s="42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2"/>
      <c r="X384" s="42"/>
      <c r="Y384" s="42"/>
      <c r="Z384" s="42"/>
      <c r="AA384" s="42"/>
      <c r="AB384" s="42"/>
      <c r="AC384" s="36"/>
      <c r="AD384" s="36"/>
      <c r="AE384" s="36"/>
      <c r="AF384" s="42"/>
      <c r="AG384" s="36"/>
    </row>
    <row r="385" spans="2:33" s="44" customFormat="1" x14ac:dyDescent="0.3">
      <c r="B385" s="23"/>
      <c r="C385" s="40"/>
      <c r="D385" s="40"/>
      <c r="E385" s="41"/>
      <c r="F385" s="41"/>
      <c r="G385" s="41"/>
      <c r="H385" s="42"/>
      <c r="I385" s="42"/>
      <c r="J385" s="42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2"/>
      <c r="X385" s="42"/>
      <c r="Y385" s="42"/>
      <c r="Z385" s="42"/>
      <c r="AA385" s="42"/>
      <c r="AB385" s="42"/>
      <c r="AC385" s="36"/>
      <c r="AD385" s="36"/>
      <c r="AE385" s="36"/>
      <c r="AF385" s="42"/>
      <c r="AG385" s="36"/>
    </row>
    <row r="386" spans="2:33" s="44" customFormat="1" x14ac:dyDescent="0.3">
      <c r="B386" s="23"/>
      <c r="C386" s="40"/>
      <c r="D386" s="40"/>
      <c r="E386" s="41"/>
      <c r="F386" s="41"/>
      <c r="G386" s="41"/>
      <c r="H386" s="42"/>
      <c r="I386" s="42"/>
      <c r="J386" s="42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2"/>
      <c r="X386" s="42"/>
      <c r="Y386" s="42"/>
      <c r="Z386" s="42"/>
      <c r="AA386" s="42"/>
      <c r="AB386" s="42"/>
      <c r="AC386" s="36"/>
      <c r="AD386" s="36"/>
      <c r="AE386" s="36"/>
      <c r="AF386" s="42"/>
      <c r="AG386" s="36"/>
    </row>
    <row r="387" spans="2:33" s="44" customFormat="1" x14ac:dyDescent="0.3">
      <c r="B387" s="23"/>
      <c r="C387" s="40"/>
      <c r="D387" s="40"/>
      <c r="E387" s="41"/>
      <c r="F387" s="41"/>
      <c r="G387" s="41"/>
      <c r="H387" s="42"/>
      <c r="I387" s="42"/>
      <c r="J387" s="42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2"/>
      <c r="X387" s="42"/>
      <c r="Y387" s="42"/>
      <c r="Z387" s="42"/>
      <c r="AA387" s="42"/>
      <c r="AB387" s="42"/>
      <c r="AC387" s="36"/>
      <c r="AD387" s="36"/>
      <c r="AE387" s="36"/>
      <c r="AF387" s="42"/>
      <c r="AG387" s="36"/>
    </row>
    <row r="388" spans="2:33" s="44" customFormat="1" x14ac:dyDescent="0.3">
      <c r="B388" s="23"/>
      <c r="C388" s="40"/>
      <c r="D388" s="40"/>
      <c r="E388" s="41"/>
      <c r="F388" s="41"/>
      <c r="G388" s="41"/>
      <c r="H388" s="42"/>
      <c r="I388" s="42"/>
      <c r="J388" s="42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2"/>
      <c r="X388" s="42"/>
      <c r="Y388" s="42"/>
      <c r="Z388" s="42"/>
      <c r="AA388" s="42"/>
      <c r="AB388" s="42"/>
      <c r="AC388" s="36"/>
      <c r="AD388" s="36"/>
      <c r="AE388" s="36"/>
      <c r="AF388" s="42"/>
      <c r="AG388" s="36"/>
    </row>
    <row r="389" spans="2:33" s="44" customFormat="1" x14ac:dyDescent="0.3">
      <c r="B389" s="23"/>
      <c r="C389" s="40"/>
      <c r="D389" s="40"/>
      <c r="E389" s="41"/>
      <c r="F389" s="41"/>
      <c r="G389" s="41"/>
      <c r="H389" s="42"/>
      <c r="I389" s="42"/>
      <c r="J389" s="42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2"/>
      <c r="X389" s="42"/>
      <c r="Y389" s="42"/>
      <c r="Z389" s="42"/>
      <c r="AA389" s="42"/>
      <c r="AB389" s="42"/>
      <c r="AC389" s="36"/>
      <c r="AD389" s="36"/>
      <c r="AE389" s="36"/>
      <c r="AF389" s="42"/>
      <c r="AG389" s="36"/>
    </row>
    <row r="390" spans="2:33" s="44" customFormat="1" x14ac:dyDescent="0.3">
      <c r="B390" s="23"/>
      <c r="C390" s="40"/>
      <c r="D390" s="40"/>
      <c r="E390" s="41"/>
      <c r="F390" s="41"/>
      <c r="G390" s="41"/>
      <c r="H390" s="42"/>
      <c r="I390" s="42"/>
      <c r="J390" s="42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2"/>
      <c r="X390" s="42"/>
      <c r="Y390" s="42"/>
      <c r="Z390" s="42"/>
      <c r="AA390" s="42"/>
      <c r="AB390" s="42"/>
      <c r="AC390" s="36"/>
      <c r="AD390" s="36"/>
      <c r="AE390" s="36"/>
      <c r="AF390" s="42"/>
      <c r="AG390" s="36"/>
    </row>
    <row r="391" spans="2:33" s="44" customFormat="1" x14ac:dyDescent="0.3">
      <c r="B391" s="23"/>
      <c r="C391" s="40"/>
      <c r="D391" s="40"/>
      <c r="E391" s="41"/>
      <c r="F391" s="41"/>
      <c r="G391" s="41"/>
      <c r="H391" s="42"/>
      <c r="I391" s="42"/>
      <c r="J391" s="42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2"/>
      <c r="X391" s="42"/>
      <c r="Y391" s="42"/>
      <c r="Z391" s="42"/>
      <c r="AA391" s="42"/>
      <c r="AB391" s="42"/>
      <c r="AC391" s="36"/>
      <c r="AD391" s="36"/>
      <c r="AE391" s="36"/>
      <c r="AF391" s="42"/>
      <c r="AG391" s="36"/>
    </row>
    <row r="392" spans="2:33" s="44" customFormat="1" x14ac:dyDescent="0.3">
      <c r="B392" s="23"/>
      <c r="C392" s="40"/>
      <c r="D392" s="40"/>
      <c r="E392" s="41"/>
      <c r="F392" s="41"/>
      <c r="G392" s="41"/>
      <c r="H392" s="42"/>
      <c r="I392" s="42"/>
      <c r="J392" s="42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2"/>
      <c r="X392" s="42"/>
      <c r="Y392" s="42"/>
      <c r="Z392" s="42"/>
      <c r="AA392" s="42"/>
      <c r="AB392" s="42"/>
      <c r="AC392" s="36"/>
      <c r="AD392" s="36"/>
      <c r="AE392" s="36"/>
      <c r="AF392" s="42"/>
      <c r="AG392" s="36"/>
    </row>
    <row r="393" spans="2:33" s="44" customFormat="1" x14ac:dyDescent="0.3">
      <c r="B393" s="23"/>
      <c r="C393" s="40"/>
      <c r="D393" s="40"/>
      <c r="E393" s="41"/>
      <c r="F393" s="41"/>
      <c r="G393" s="41"/>
      <c r="H393" s="42"/>
      <c r="I393" s="42"/>
      <c r="J393" s="42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2"/>
      <c r="X393" s="42"/>
      <c r="Y393" s="42"/>
      <c r="Z393" s="42"/>
      <c r="AA393" s="42"/>
      <c r="AB393" s="42"/>
      <c r="AC393" s="36"/>
      <c r="AD393" s="36"/>
      <c r="AE393" s="36"/>
      <c r="AF393" s="42"/>
      <c r="AG393" s="36"/>
    </row>
    <row r="394" spans="2:33" s="44" customFormat="1" x14ac:dyDescent="0.3">
      <c r="B394" s="23"/>
      <c r="C394" s="40"/>
      <c r="D394" s="40"/>
      <c r="E394" s="41"/>
      <c r="F394" s="41"/>
      <c r="G394" s="41"/>
      <c r="H394" s="42"/>
      <c r="I394" s="42"/>
      <c r="J394" s="42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2"/>
      <c r="X394" s="42"/>
      <c r="Y394" s="42"/>
      <c r="Z394" s="42"/>
      <c r="AA394" s="42"/>
      <c r="AB394" s="42"/>
      <c r="AC394" s="36"/>
      <c r="AD394" s="36"/>
      <c r="AE394" s="36"/>
      <c r="AF394" s="42"/>
      <c r="AG394" s="36"/>
    </row>
    <row r="395" spans="2:33" s="44" customFormat="1" x14ac:dyDescent="0.3">
      <c r="B395" s="23"/>
      <c r="C395" s="40"/>
      <c r="D395" s="40"/>
      <c r="E395" s="41"/>
      <c r="F395" s="41"/>
      <c r="G395" s="41"/>
      <c r="H395" s="42"/>
      <c r="I395" s="42"/>
      <c r="J395" s="42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2"/>
      <c r="X395" s="42"/>
      <c r="Y395" s="42"/>
      <c r="Z395" s="42"/>
      <c r="AA395" s="42"/>
      <c r="AB395" s="42"/>
      <c r="AC395" s="36"/>
      <c r="AD395" s="36"/>
      <c r="AE395" s="36"/>
      <c r="AF395" s="42"/>
      <c r="AG395" s="36"/>
    </row>
    <row r="396" spans="2:33" s="44" customFormat="1" x14ac:dyDescent="0.3">
      <c r="B396" s="23"/>
      <c r="C396" s="40"/>
      <c r="D396" s="40"/>
      <c r="E396" s="41"/>
      <c r="F396" s="41"/>
      <c r="G396" s="41"/>
      <c r="H396" s="42"/>
      <c r="I396" s="42"/>
      <c r="J396" s="42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2"/>
      <c r="X396" s="42"/>
      <c r="Y396" s="42"/>
      <c r="Z396" s="42"/>
      <c r="AA396" s="42"/>
      <c r="AB396" s="42"/>
      <c r="AC396" s="36"/>
      <c r="AD396" s="36"/>
      <c r="AE396" s="36"/>
      <c r="AF396" s="42"/>
      <c r="AG396" s="36"/>
    </row>
    <row r="397" spans="2:33" s="44" customFormat="1" x14ac:dyDescent="0.3">
      <c r="B397" s="23"/>
      <c r="C397" s="40"/>
      <c r="D397" s="40"/>
      <c r="E397" s="41"/>
      <c r="F397" s="41"/>
      <c r="G397" s="41"/>
      <c r="H397" s="42"/>
      <c r="I397" s="42"/>
      <c r="J397" s="42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2"/>
      <c r="X397" s="42"/>
      <c r="Y397" s="42"/>
      <c r="Z397" s="42"/>
      <c r="AA397" s="42"/>
      <c r="AB397" s="42"/>
      <c r="AC397" s="36"/>
      <c r="AD397" s="36"/>
      <c r="AE397" s="36"/>
      <c r="AF397" s="42"/>
      <c r="AG397" s="36"/>
    </row>
    <row r="398" spans="2:33" s="44" customFormat="1" x14ac:dyDescent="0.3">
      <c r="B398" s="23"/>
      <c r="C398" s="40"/>
      <c r="D398" s="40"/>
      <c r="E398" s="41"/>
      <c r="F398" s="41"/>
      <c r="G398" s="41"/>
      <c r="H398" s="42"/>
      <c r="I398" s="42"/>
      <c r="J398" s="42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2"/>
      <c r="X398" s="42"/>
      <c r="Y398" s="42"/>
      <c r="Z398" s="42"/>
      <c r="AA398" s="42"/>
      <c r="AB398" s="42"/>
      <c r="AC398" s="36"/>
      <c r="AD398" s="36"/>
      <c r="AE398" s="36"/>
      <c r="AF398" s="42"/>
      <c r="AG398" s="36"/>
    </row>
    <row r="399" spans="2:33" s="44" customFormat="1" x14ac:dyDescent="0.3">
      <c r="B399" s="23"/>
      <c r="C399" s="40"/>
      <c r="D399" s="40"/>
      <c r="E399" s="41"/>
      <c r="F399" s="41"/>
      <c r="G399" s="41"/>
      <c r="H399" s="42"/>
      <c r="I399" s="42"/>
      <c r="J399" s="42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2"/>
      <c r="X399" s="42"/>
      <c r="Y399" s="42"/>
      <c r="Z399" s="42"/>
      <c r="AA399" s="42"/>
      <c r="AB399" s="42"/>
      <c r="AC399" s="36"/>
      <c r="AD399" s="36"/>
      <c r="AE399" s="36"/>
      <c r="AF399" s="42"/>
      <c r="AG399" s="36"/>
    </row>
    <row r="400" spans="2:33" s="44" customFormat="1" x14ac:dyDescent="0.3">
      <c r="B400" s="23"/>
      <c r="C400" s="40"/>
      <c r="D400" s="40"/>
      <c r="E400" s="41"/>
      <c r="F400" s="41"/>
      <c r="G400" s="41"/>
      <c r="H400" s="42"/>
      <c r="I400" s="42"/>
      <c r="J400" s="42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2"/>
      <c r="X400" s="42"/>
      <c r="Y400" s="42"/>
      <c r="Z400" s="42"/>
      <c r="AA400" s="42"/>
      <c r="AB400" s="42"/>
      <c r="AC400" s="36"/>
      <c r="AD400" s="36"/>
      <c r="AE400" s="36"/>
      <c r="AF400" s="42"/>
      <c r="AG400" s="36"/>
    </row>
    <row r="401" spans="2:33" s="44" customFormat="1" x14ac:dyDescent="0.3">
      <c r="B401" s="23"/>
      <c r="C401" s="40"/>
      <c r="D401" s="40"/>
      <c r="E401" s="41"/>
      <c r="F401" s="41"/>
      <c r="G401" s="41"/>
      <c r="H401" s="42"/>
      <c r="I401" s="42"/>
      <c r="J401" s="42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2"/>
      <c r="X401" s="42"/>
      <c r="Y401" s="42"/>
      <c r="Z401" s="42"/>
      <c r="AA401" s="42"/>
      <c r="AB401" s="42"/>
      <c r="AC401" s="36"/>
      <c r="AD401" s="36"/>
      <c r="AE401" s="36"/>
      <c r="AF401" s="42"/>
      <c r="AG401" s="36"/>
    </row>
    <row r="402" spans="2:33" s="44" customFormat="1" x14ac:dyDescent="0.3">
      <c r="B402" s="23"/>
      <c r="C402" s="40"/>
      <c r="D402" s="40"/>
      <c r="E402" s="41"/>
      <c r="F402" s="41"/>
      <c r="G402" s="41"/>
      <c r="H402" s="42"/>
      <c r="I402" s="42"/>
      <c r="J402" s="42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2"/>
      <c r="X402" s="42"/>
      <c r="Y402" s="42"/>
      <c r="Z402" s="42"/>
      <c r="AA402" s="42"/>
      <c r="AB402" s="42"/>
      <c r="AC402" s="36"/>
      <c r="AD402" s="36"/>
      <c r="AE402" s="36"/>
      <c r="AF402" s="42"/>
      <c r="AG402" s="36"/>
    </row>
    <row r="403" spans="2:33" s="44" customFormat="1" x14ac:dyDescent="0.3">
      <c r="B403" s="23"/>
      <c r="C403" s="40"/>
      <c r="D403" s="40"/>
      <c r="E403" s="41"/>
      <c r="F403" s="41"/>
      <c r="G403" s="41"/>
      <c r="H403" s="42"/>
      <c r="I403" s="42"/>
      <c r="J403" s="42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2"/>
      <c r="X403" s="42"/>
      <c r="Y403" s="42"/>
      <c r="Z403" s="42"/>
      <c r="AA403" s="42"/>
      <c r="AB403" s="42"/>
      <c r="AC403" s="36"/>
      <c r="AD403" s="36"/>
      <c r="AE403" s="36"/>
      <c r="AF403" s="42"/>
      <c r="AG403" s="36"/>
    </row>
    <row r="404" spans="2:33" s="44" customFormat="1" x14ac:dyDescent="0.3">
      <c r="B404" s="23"/>
      <c r="C404" s="40"/>
      <c r="D404" s="40"/>
      <c r="E404" s="41"/>
      <c r="F404" s="41"/>
      <c r="G404" s="41"/>
      <c r="H404" s="42"/>
      <c r="I404" s="42"/>
      <c r="J404" s="42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2"/>
      <c r="X404" s="42"/>
      <c r="Y404" s="42"/>
      <c r="Z404" s="42"/>
      <c r="AA404" s="42"/>
      <c r="AB404" s="42"/>
      <c r="AC404" s="36"/>
      <c r="AD404" s="36"/>
      <c r="AE404" s="36"/>
      <c r="AF404" s="42"/>
      <c r="AG404" s="36"/>
    </row>
    <row r="405" spans="2:33" s="44" customFormat="1" x14ac:dyDescent="0.3">
      <c r="B405" s="23"/>
      <c r="C405" s="40"/>
      <c r="D405" s="40"/>
      <c r="E405" s="41"/>
      <c r="F405" s="41"/>
      <c r="G405" s="41"/>
      <c r="H405" s="42"/>
      <c r="I405" s="42"/>
      <c r="J405" s="42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2"/>
      <c r="X405" s="42"/>
      <c r="Y405" s="42"/>
      <c r="Z405" s="42"/>
      <c r="AA405" s="42"/>
      <c r="AB405" s="42"/>
      <c r="AC405" s="36"/>
      <c r="AD405" s="36"/>
      <c r="AE405" s="36"/>
      <c r="AF405" s="42"/>
      <c r="AG405" s="36"/>
    </row>
    <row r="406" spans="2:33" s="44" customFormat="1" x14ac:dyDescent="0.3">
      <c r="B406" s="23"/>
      <c r="C406" s="40"/>
      <c r="D406" s="40"/>
      <c r="E406" s="41"/>
      <c r="F406" s="41"/>
      <c r="G406" s="41"/>
      <c r="H406" s="42"/>
      <c r="I406" s="42"/>
      <c r="J406" s="42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2"/>
      <c r="X406" s="42"/>
      <c r="Y406" s="42"/>
      <c r="Z406" s="42"/>
      <c r="AA406" s="42"/>
      <c r="AB406" s="42"/>
      <c r="AC406" s="36"/>
      <c r="AD406" s="36"/>
      <c r="AE406" s="36"/>
      <c r="AF406" s="42"/>
      <c r="AG406" s="36"/>
    </row>
    <row r="407" spans="2:33" s="44" customFormat="1" x14ac:dyDescent="0.3">
      <c r="B407" s="23"/>
      <c r="C407" s="40"/>
      <c r="D407" s="40"/>
      <c r="E407" s="41"/>
      <c r="F407" s="41"/>
      <c r="G407" s="41"/>
      <c r="H407" s="42"/>
      <c r="I407" s="42"/>
      <c r="J407" s="42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2"/>
      <c r="X407" s="42"/>
      <c r="Y407" s="42"/>
      <c r="Z407" s="42"/>
      <c r="AA407" s="42"/>
      <c r="AB407" s="42"/>
      <c r="AC407" s="36"/>
      <c r="AD407" s="36"/>
      <c r="AE407" s="36"/>
      <c r="AF407" s="42"/>
      <c r="AG407" s="36"/>
    </row>
    <row r="408" spans="2:33" s="44" customFormat="1" x14ac:dyDescent="0.3">
      <c r="B408" s="23"/>
      <c r="C408" s="40"/>
      <c r="D408" s="40"/>
      <c r="E408" s="41"/>
      <c r="F408" s="41"/>
      <c r="G408" s="41"/>
      <c r="H408" s="42"/>
      <c r="I408" s="42"/>
      <c r="J408" s="42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2"/>
      <c r="X408" s="42"/>
      <c r="Y408" s="42"/>
      <c r="Z408" s="42"/>
      <c r="AA408" s="42"/>
      <c r="AB408" s="42"/>
      <c r="AC408" s="36"/>
      <c r="AD408" s="36"/>
      <c r="AE408" s="36"/>
      <c r="AF408" s="42"/>
      <c r="AG408" s="36"/>
    </row>
    <row r="409" spans="2:33" s="44" customFormat="1" x14ac:dyDescent="0.3">
      <c r="B409" s="23"/>
      <c r="C409" s="40"/>
      <c r="D409" s="40"/>
      <c r="E409" s="41"/>
      <c r="F409" s="41"/>
      <c r="G409" s="41"/>
      <c r="H409" s="42"/>
      <c r="I409" s="42"/>
      <c r="J409" s="42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2"/>
      <c r="X409" s="42"/>
      <c r="Y409" s="42"/>
      <c r="Z409" s="42"/>
      <c r="AA409" s="42"/>
      <c r="AB409" s="42"/>
      <c r="AC409" s="36"/>
      <c r="AD409" s="36"/>
      <c r="AE409" s="36"/>
      <c r="AF409" s="42"/>
      <c r="AG409" s="36"/>
    </row>
    <row r="410" spans="2:33" s="44" customFormat="1" x14ac:dyDescent="0.3">
      <c r="B410" s="23"/>
      <c r="C410" s="40"/>
      <c r="D410" s="40"/>
      <c r="E410" s="41"/>
      <c r="F410" s="41"/>
      <c r="G410" s="41"/>
      <c r="H410" s="42"/>
      <c r="I410" s="42"/>
      <c r="J410" s="42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2"/>
      <c r="X410" s="42"/>
      <c r="Y410" s="42"/>
      <c r="Z410" s="42"/>
      <c r="AA410" s="42"/>
      <c r="AB410" s="42"/>
      <c r="AC410" s="36"/>
      <c r="AD410" s="36"/>
      <c r="AE410" s="36"/>
      <c r="AF410" s="42"/>
      <c r="AG410" s="36"/>
    </row>
    <row r="411" spans="2:33" s="44" customFormat="1" x14ac:dyDescent="0.3">
      <c r="B411" s="23"/>
      <c r="C411" s="40"/>
      <c r="D411" s="40"/>
      <c r="E411" s="41"/>
      <c r="F411" s="41"/>
      <c r="G411" s="41"/>
      <c r="H411" s="42"/>
      <c r="I411" s="42"/>
      <c r="J411" s="42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2"/>
      <c r="X411" s="42"/>
      <c r="Y411" s="42"/>
      <c r="Z411" s="42"/>
      <c r="AA411" s="42"/>
      <c r="AB411" s="42"/>
      <c r="AC411" s="36"/>
      <c r="AD411" s="36"/>
      <c r="AE411" s="36"/>
      <c r="AF411" s="42"/>
      <c r="AG411" s="36"/>
    </row>
    <row r="412" spans="2:33" s="44" customFormat="1" x14ac:dyDescent="0.3">
      <c r="B412" s="23"/>
      <c r="C412" s="40"/>
      <c r="D412" s="40"/>
      <c r="E412" s="41"/>
      <c r="F412" s="41"/>
      <c r="G412" s="41"/>
      <c r="H412" s="42"/>
      <c r="I412" s="42"/>
      <c r="J412" s="42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2"/>
      <c r="X412" s="42"/>
      <c r="Y412" s="42"/>
      <c r="Z412" s="42"/>
      <c r="AA412" s="42"/>
      <c r="AB412" s="42"/>
      <c r="AC412" s="36"/>
      <c r="AD412" s="36"/>
      <c r="AE412" s="36"/>
      <c r="AF412" s="42"/>
      <c r="AG412" s="36"/>
    </row>
    <row r="413" spans="2:33" s="44" customFormat="1" x14ac:dyDescent="0.3">
      <c r="B413" s="23"/>
      <c r="C413" s="40"/>
      <c r="D413" s="40"/>
      <c r="E413" s="41"/>
      <c r="F413" s="41"/>
      <c r="G413" s="41"/>
      <c r="H413" s="42"/>
      <c r="I413" s="42"/>
      <c r="J413" s="42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2"/>
      <c r="X413" s="42"/>
      <c r="Y413" s="42"/>
      <c r="Z413" s="42"/>
      <c r="AA413" s="42"/>
      <c r="AB413" s="42"/>
      <c r="AC413" s="36"/>
      <c r="AD413" s="36"/>
      <c r="AE413" s="36"/>
      <c r="AF413" s="42"/>
      <c r="AG413" s="36"/>
    </row>
    <row r="414" spans="2:33" s="44" customFormat="1" x14ac:dyDescent="0.3">
      <c r="B414" s="23"/>
      <c r="C414" s="40"/>
      <c r="D414" s="40"/>
      <c r="E414" s="41"/>
      <c r="F414" s="41"/>
      <c r="G414" s="41"/>
      <c r="H414" s="42"/>
      <c r="I414" s="42"/>
      <c r="J414" s="42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2"/>
      <c r="X414" s="42"/>
      <c r="Y414" s="42"/>
      <c r="Z414" s="42"/>
      <c r="AA414" s="42"/>
      <c r="AB414" s="42"/>
      <c r="AC414" s="36"/>
      <c r="AD414" s="36"/>
      <c r="AE414" s="36"/>
      <c r="AF414" s="42"/>
      <c r="AG414" s="36"/>
    </row>
    <row r="415" spans="2:33" s="44" customFormat="1" x14ac:dyDescent="0.3">
      <c r="B415" s="23"/>
      <c r="C415" s="40"/>
      <c r="D415" s="40"/>
      <c r="E415" s="41"/>
      <c r="F415" s="41"/>
      <c r="G415" s="41"/>
      <c r="H415" s="42"/>
      <c r="I415" s="42"/>
      <c r="J415" s="42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2"/>
      <c r="X415" s="42"/>
      <c r="Y415" s="42"/>
      <c r="Z415" s="42"/>
      <c r="AA415" s="42"/>
      <c r="AB415" s="42"/>
      <c r="AC415" s="36"/>
      <c r="AD415" s="36"/>
      <c r="AE415" s="36"/>
      <c r="AF415" s="42"/>
      <c r="AG415" s="36"/>
    </row>
    <row r="416" spans="2:33" s="44" customFormat="1" x14ac:dyDescent="0.3">
      <c r="B416" s="23"/>
      <c r="C416" s="40"/>
      <c r="D416" s="40"/>
      <c r="E416" s="41"/>
      <c r="F416" s="41"/>
      <c r="G416" s="41"/>
      <c r="H416" s="42"/>
      <c r="I416" s="42"/>
      <c r="J416" s="42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2"/>
      <c r="X416" s="42"/>
      <c r="Y416" s="42"/>
      <c r="Z416" s="42"/>
      <c r="AA416" s="42"/>
      <c r="AB416" s="42"/>
      <c r="AC416" s="36"/>
      <c r="AD416" s="36"/>
      <c r="AE416" s="36"/>
      <c r="AF416" s="42"/>
      <c r="AG416" s="36"/>
    </row>
    <row r="417" spans="2:33" s="44" customFormat="1" x14ac:dyDescent="0.3">
      <c r="B417" s="23"/>
      <c r="C417" s="40"/>
      <c r="D417" s="40"/>
      <c r="E417" s="41"/>
      <c r="F417" s="41"/>
      <c r="G417" s="41"/>
      <c r="H417" s="42"/>
      <c r="I417" s="42"/>
      <c r="J417" s="42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2"/>
      <c r="X417" s="42"/>
      <c r="Y417" s="42"/>
      <c r="Z417" s="42"/>
      <c r="AA417" s="42"/>
      <c r="AB417" s="42"/>
      <c r="AC417" s="36"/>
      <c r="AD417" s="36"/>
      <c r="AE417" s="36"/>
      <c r="AF417" s="42"/>
      <c r="AG417" s="36"/>
    </row>
    <row r="418" spans="2:33" s="44" customFormat="1" x14ac:dyDescent="0.3">
      <c r="B418" s="23"/>
      <c r="C418" s="40"/>
      <c r="D418" s="40"/>
      <c r="E418" s="41"/>
      <c r="F418" s="41"/>
      <c r="G418" s="41"/>
      <c r="H418" s="42"/>
      <c r="I418" s="42"/>
      <c r="J418" s="42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2"/>
      <c r="X418" s="42"/>
      <c r="Y418" s="42"/>
      <c r="Z418" s="42"/>
      <c r="AA418" s="42"/>
      <c r="AB418" s="42"/>
      <c r="AC418" s="36"/>
      <c r="AD418" s="36"/>
      <c r="AE418" s="36"/>
      <c r="AF418" s="42"/>
      <c r="AG418" s="36"/>
    </row>
    <row r="419" spans="2:33" s="44" customFormat="1" x14ac:dyDescent="0.3">
      <c r="B419" s="23"/>
      <c r="C419" s="40"/>
      <c r="D419" s="40"/>
      <c r="E419" s="41"/>
      <c r="F419" s="41"/>
      <c r="G419" s="41"/>
      <c r="H419" s="42"/>
      <c r="I419" s="42"/>
      <c r="J419" s="42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2"/>
      <c r="X419" s="42"/>
      <c r="Y419" s="42"/>
      <c r="Z419" s="42"/>
      <c r="AA419" s="42"/>
      <c r="AB419" s="42"/>
      <c r="AC419" s="36"/>
      <c r="AD419" s="36"/>
      <c r="AE419" s="36"/>
      <c r="AF419" s="42"/>
      <c r="AG419" s="36"/>
    </row>
    <row r="420" spans="2:33" s="44" customFormat="1" x14ac:dyDescent="0.3">
      <c r="B420" s="23"/>
      <c r="C420" s="40"/>
      <c r="D420" s="40"/>
      <c r="E420" s="41"/>
      <c r="F420" s="41"/>
      <c r="G420" s="41"/>
      <c r="H420" s="42"/>
      <c r="I420" s="42"/>
      <c r="J420" s="42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2"/>
      <c r="X420" s="42"/>
      <c r="Y420" s="42"/>
      <c r="Z420" s="42"/>
      <c r="AA420" s="42"/>
      <c r="AB420" s="42"/>
      <c r="AC420" s="36"/>
      <c r="AD420" s="36"/>
      <c r="AE420" s="36"/>
      <c r="AF420" s="42"/>
      <c r="AG420" s="36"/>
    </row>
    <row r="421" spans="2:33" s="44" customFormat="1" x14ac:dyDescent="0.3">
      <c r="B421" s="23"/>
      <c r="C421" s="40"/>
      <c r="D421" s="40"/>
      <c r="E421" s="41"/>
      <c r="F421" s="41"/>
      <c r="G421" s="41"/>
      <c r="H421" s="42"/>
      <c r="I421" s="42"/>
      <c r="J421" s="42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2"/>
      <c r="X421" s="42"/>
      <c r="Y421" s="42"/>
      <c r="Z421" s="42"/>
      <c r="AA421" s="42"/>
      <c r="AB421" s="42"/>
      <c r="AC421" s="36"/>
      <c r="AD421" s="36"/>
      <c r="AE421" s="36"/>
      <c r="AF421" s="42"/>
      <c r="AG421" s="36"/>
    </row>
    <row r="422" spans="2:33" s="44" customFormat="1" x14ac:dyDescent="0.3">
      <c r="B422" s="23"/>
      <c r="C422" s="40"/>
      <c r="D422" s="40"/>
      <c r="E422" s="41"/>
      <c r="F422" s="41"/>
      <c r="G422" s="41"/>
      <c r="H422" s="42"/>
      <c r="I422" s="42"/>
      <c r="J422" s="42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2"/>
      <c r="X422" s="42"/>
      <c r="Y422" s="42"/>
      <c r="Z422" s="42"/>
      <c r="AA422" s="42"/>
      <c r="AB422" s="42"/>
      <c r="AC422" s="36"/>
      <c r="AD422" s="36"/>
      <c r="AE422" s="36"/>
      <c r="AF422" s="42"/>
      <c r="AG422" s="36"/>
    </row>
    <row r="423" spans="2:33" s="44" customFormat="1" x14ac:dyDescent="0.3">
      <c r="B423" s="23"/>
      <c r="C423" s="40"/>
      <c r="D423" s="40"/>
      <c r="E423" s="41"/>
      <c r="F423" s="41"/>
      <c r="G423" s="41"/>
      <c r="H423" s="42"/>
      <c r="I423" s="42"/>
      <c r="J423" s="42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2"/>
      <c r="X423" s="42"/>
      <c r="Y423" s="42"/>
      <c r="Z423" s="42"/>
      <c r="AA423" s="42"/>
      <c r="AB423" s="42"/>
      <c r="AC423" s="36"/>
      <c r="AD423" s="36"/>
      <c r="AE423" s="36"/>
      <c r="AF423" s="42"/>
      <c r="AG423" s="36"/>
    </row>
    <row r="424" spans="2:33" s="44" customFormat="1" x14ac:dyDescent="0.3">
      <c r="B424" s="23"/>
      <c r="C424" s="40"/>
      <c r="D424" s="40"/>
      <c r="E424" s="41"/>
      <c r="F424" s="41"/>
      <c r="G424" s="41"/>
      <c r="H424" s="42"/>
      <c r="I424" s="42"/>
      <c r="J424" s="42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2"/>
      <c r="X424" s="42"/>
      <c r="Y424" s="42"/>
      <c r="Z424" s="42"/>
      <c r="AA424" s="42"/>
      <c r="AB424" s="42"/>
      <c r="AC424" s="36"/>
      <c r="AD424" s="36"/>
      <c r="AE424" s="36"/>
      <c r="AF424" s="42"/>
      <c r="AG424" s="36"/>
    </row>
    <row r="425" spans="2:33" s="44" customFormat="1" x14ac:dyDescent="0.3">
      <c r="B425" s="23"/>
      <c r="C425" s="40"/>
      <c r="D425" s="40"/>
      <c r="E425" s="41"/>
      <c r="F425" s="41"/>
      <c r="G425" s="41"/>
      <c r="H425" s="42"/>
      <c r="I425" s="42"/>
      <c r="J425" s="42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2"/>
      <c r="X425" s="42"/>
      <c r="Y425" s="42"/>
      <c r="Z425" s="42"/>
      <c r="AA425" s="42"/>
      <c r="AB425" s="42"/>
      <c r="AC425" s="36"/>
      <c r="AD425" s="36"/>
      <c r="AE425" s="36"/>
      <c r="AF425" s="42"/>
      <c r="AG425" s="36"/>
    </row>
    <row r="426" spans="2:33" s="44" customFormat="1" x14ac:dyDescent="0.3">
      <c r="B426" s="23"/>
      <c r="C426" s="40"/>
      <c r="D426" s="40"/>
      <c r="E426" s="41"/>
      <c r="F426" s="41"/>
      <c r="G426" s="41"/>
      <c r="H426" s="42"/>
      <c r="I426" s="42"/>
      <c r="J426" s="42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2"/>
      <c r="X426" s="42"/>
      <c r="Y426" s="42"/>
      <c r="Z426" s="42"/>
      <c r="AA426" s="42"/>
      <c r="AB426" s="42"/>
      <c r="AC426" s="36"/>
      <c r="AD426" s="36"/>
      <c r="AE426" s="36"/>
      <c r="AF426" s="42"/>
      <c r="AG426" s="36"/>
    </row>
    <row r="427" spans="2:33" s="44" customFormat="1" x14ac:dyDescent="0.3">
      <c r="B427" s="23"/>
      <c r="C427" s="40"/>
      <c r="D427" s="40"/>
      <c r="E427" s="41"/>
      <c r="F427" s="41"/>
      <c r="G427" s="41"/>
      <c r="H427" s="42"/>
      <c r="I427" s="42"/>
      <c r="J427" s="42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2"/>
      <c r="X427" s="42"/>
      <c r="Y427" s="42"/>
      <c r="Z427" s="42"/>
      <c r="AA427" s="42"/>
      <c r="AB427" s="42"/>
      <c r="AC427" s="36"/>
      <c r="AD427" s="36"/>
      <c r="AE427" s="36"/>
      <c r="AF427" s="42"/>
      <c r="AG427" s="36"/>
    </row>
    <row r="428" spans="2:33" s="44" customFormat="1" x14ac:dyDescent="0.3">
      <c r="B428" s="23"/>
      <c r="C428" s="40"/>
      <c r="D428" s="40"/>
      <c r="E428" s="41"/>
      <c r="F428" s="41"/>
      <c r="G428" s="41"/>
      <c r="H428" s="42"/>
      <c r="I428" s="42"/>
      <c r="J428" s="42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2"/>
      <c r="X428" s="42"/>
      <c r="Y428" s="42"/>
      <c r="Z428" s="42"/>
      <c r="AA428" s="42"/>
      <c r="AB428" s="42"/>
      <c r="AC428" s="36"/>
      <c r="AD428" s="36"/>
      <c r="AE428" s="36"/>
      <c r="AF428" s="42"/>
      <c r="AG428" s="36"/>
    </row>
    <row r="429" spans="2:33" s="44" customFormat="1" x14ac:dyDescent="0.3">
      <c r="B429" s="23"/>
      <c r="C429" s="40"/>
      <c r="D429" s="40"/>
      <c r="E429" s="41"/>
      <c r="F429" s="41"/>
      <c r="G429" s="41"/>
      <c r="H429" s="42"/>
      <c r="I429" s="42"/>
      <c r="J429" s="42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2"/>
      <c r="X429" s="42"/>
      <c r="Y429" s="42"/>
      <c r="Z429" s="42"/>
      <c r="AA429" s="42"/>
      <c r="AB429" s="42"/>
      <c r="AC429" s="36"/>
      <c r="AD429" s="36"/>
      <c r="AE429" s="36"/>
      <c r="AF429" s="42"/>
      <c r="AG429" s="36"/>
    </row>
    <row r="430" spans="2:33" s="44" customFormat="1" x14ac:dyDescent="0.3">
      <c r="B430" s="23"/>
      <c r="C430" s="40"/>
      <c r="D430" s="40"/>
      <c r="E430" s="41"/>
      <c r="F430" s="41"/>
      <c r="G430" s="41"/>
      <c r="H430" s="42"/>
      <c r="I430" s="42"/>
      <c r="J430" s="42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2"/>
      <c r="X430" s="42"/>
      <c r="Y430" s="42"/>
      <c r="Z430" s="42"/>
      <c r="AA430" s="42"/>
      <c r="AB430" s="42"/>
      <c r="AC430" s="36"/>
      <c r="AD430" s="36"/>
      <c r="AE430" s="36"/>
      <c r="AF430" s="42"/>
      <c r="AG430" s="36"/>
    </row>
    <row r="431" spans="2:33" s="44" customFormat="1" x14ac:dyDescent="0.3">
      <c r="B431" s="23"/>
      <c r="C431" s="40"/>
      <c r="D431" s="40"/>
      <c r="E431" s="41"/>
      <c r="F431" s="41"/>
      <c r="G431" s="41"/>
      <c r="H431" s="42"/>
      <c r="I431" s="42"/>
      <c r="J431" s="42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2"/>
      <c r="X431" s="42"/>
      <c r="Y431" s="42"/>
      <c r="Z431" s="42"/>
      <c r="AA431" s="42"/>
      <c r="AB431" s="42"/>
      <c r="AC431" s="36"/>
      <c r="AD431" s="36"/>
      <c r="AE431" s="36"/>
      <c r="AF431" s="42"/>
      <c r="AG431" s="36"/>
    </row>
    <row r="432" spans="2:33" s="44" customFormat="1" x14ac:dyDescent="0.3">
      <c r="B432" s="23"/>
      <c r="C432" s="40"/>
      <c r="D432" s="40"/>
      <c r="E432" s="41"/>
      <c r="F432" s="41"/>
      <c r="G432" s="41"/>
      <c r="H432" s="42"/>
      <c r="I432" s="42"/>
      <c r="J432" s="42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2"/>
      <c r="X432" s="42"/>
      <c r="Y432" s="42"/>
      <c r="Z432" s="42"/>
      <c r="AA432" s="42"/>
      <c r="AB432" s="42"/>
      <c r="AC432" s="36"/>
      <c r="AD432" s="36"/>
      <c r="AE432" s="36"/>
      <c r="AF432" s="42"/>
      <c r="AG432" s="36"/>
    </row>
    <row r="433" spans="2:33" s="44" customFormat="1" x14ac:dyDescent="0.3">
      <c r="B433" s="23"/>
      <c r="C433" s="40"/>
      <c r="D433" s="40"/>
      <c r="E433" s="41"/>
      <c r="F433" s="41"/>
      <c r="G433" s="41"/>
      <c r="H433" s="42"/>
      <c r="I433" s="42"/>
      <c r="J433" s="42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2"/>
      <c r="X433" s="42"/>
      <c r="Y433" s="42"/>
      <c r="Z433" s="42"/>
      <c r="AA433" s="42"/>
      <c r="AB433" s="42"/>
      <c r="AC433" s="36"/>
      <c r="AD433" s="36"/>
      <c r="AE433" s="36"/>
      <c r="AF433" s="42"/>
      <c r="AG433" s="36"/>
    </row>
    <row r="434" spans="2:33" s="44" customFormat="1" x14ac:dyDescent="0.3">
      <c r="B434" s="23"/>
      <c r="C434" s="40"/>
      <c r="D434" s="40"/>
      <c r="E434" s="41"/>
      <c r="F434" s="41"/>
      <c r="G434" s="41"/>
      <c r="H434" s="42"/>
      <c r="I434" s="42"/>
      <c r="J434" s="42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2"/>
      <c r="X434" s="42"/>
      <c r="Y434" s="42"/>
      <c r="Z434" s="42"/>
      <c r="AA434" s="42"/>
      <c r="AB434" s="42"/>
      <c r="AC434" s="36"/>
      <c r="AD434" s="36"/>
      <c r="AE434" s="36"/>
      <c r="AF434" s="42"/>
      <c r="AG434" s="36"/>
    </row>
    <row r="435" spans="2:33" s="44" customFormat="1" x14ac:dyDescent="0.3">
      <c r="B435" s="23"/>
      <c r="C435" s="40"/>
      <c r="D435" s="40"/>
      <c r="E435" s="41"/>
      <c r="F435" s="41"/>
      <c r="G435" s="41"/>
      <c r="H435" s="42"/>
      <c r="I435" s="42"/>
      <c r="J435" s="42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2"/>
      <c r="X435" s="42"/>
      <c r="Y435" s="42"/>
      <c r="Z435" s="42"/>
      <c r="AA435" s="42"/>
      <c r="AB435" s="42"/>
      <c r="AC435" s="36"/>
      <c r="AD435" s="36"/>
      <c r="AE435" s="36"/>
      <c r="AF435" s="42"/>
      <c r="AG435" s="36"/>
    </row>
    <row r="436" spans="2:33" s="44" customFormat="1" x14ac:dyDescent="0.3">
      <c r="B436" s="23"/>
      <c r="C436" s="40"/>
      <c r="D436" s="40"/>
      <c r="E436" s="41"/>
      <c r="F436" s="41"/>
      <c r="G436" s="41"/>
      <c r="H436" s="42"/>
      <c r="I436" s="42"/>
      <c r="J436" s="42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2"/>
      <c r="X436" s="42"/>
      <c r="Y436" s="42"/>
      <c r="Z436" s="42"/>
      <c r="AA436" s="42"/>
      <c r="AB436" s="42"/>
      <c r="AC436" s="36"/>
      <c r="AD436" s="36"/>
      <c r="AE436" s="36"/>
      <c r="AF436" s="42"/>
      <c r="AG436" s="36"/>
    </row>
    <row r="437" spans="2:33" s="44" customFormat="1" x14ac:dyDescent="0.3">
      <c r="B437" s="23"/>
      <c r="C437" s="40"/>
      <c r="D437" s="40"/>
      <c r="E437" s="41"/>
      <c r="F437" s="41"/>
      <c r="G437" s="41"/>
      <c r="H437" s="42"/>
      <c r="I437" s="42"/>
      <c r="J437" s="42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2"/>
      <c r="X437" s="42"/>
      <c r="Y437" s="42"/>
      <c r="Z437" s="42"/>
      <c r="AA437" s="42"/>
      <c r="AB437" s="42"/>
      <c r="AC437" s="36"/>
      <c r="AD437" s="36"/>
      <c r="AE437" s="36"/>
      <c r="AF437" s="42"/>
      <c r="AG437" s="36"/>
    </row>
    <row r="438" spans="2:33" s="44" customFormat="1" x14ac:dyDescent="0.3">
      <c r="B438" s="23"/>
      <c r="C438" s="40"/>
      <c r="D438" s="40"/>
      <c r="E438" s="41"/>
      <c r="F438" s="41"/>
      <c r="G438" s="41"/>
      <c r="H438" s="42"/>
      <c r="I438" s="42"/>
      <c r="J438" s="42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2"/>
      <c r="X438" s="42"/>
      <c r="Y438" s="42"/>
      <c r="Z438" s="42"/>
      <c r="AA438" s="42"/>
      <c r="AB438" s="42"/>
      <c r="AC438" s="36"/>
      <c r="AD438" s="36"/>
      <c r="AE438" s="36"/>
      <c r="AF438" s="42"/>
      <c r="AG438" s="36"/>
    </row>
    <row r="439" spans="2:33" s="44" customFormat="1" x14ac:dyDescent="0.3">
      <c r="B439" s="23"/>
      <c r="C439" s="40"/>
      <c r="D439" s="40"/>
      <c r="E439" s="41"/>
      <c r="F439" s="41"/>
      <c r="G439" s="41"/>
      <c r="H439" s="42"/>
      <c r="I439" s="42"/>
      <c r="J439" s="42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2"/>
      <c r="X439" s="42"/>
      <c r="Y439" s="42"/>
      <c r="Z439" s="42"/>
      <c r="AA439" s="42"/>
      <c r="AB439" s="42"/>
      <c r="AC439" s="36"/>
      <c r="AD439" s="36"/>
      <c r="AE439" s="36"/>
      <c r="AF439" s="42"/>
      <c r="AG439" s="36"/>
    </row>
    <row r="440" spans="2:33" s="44" customFormat="1" x14ac:dyDescent="0.3">
      <c r="B440" s="23"/>
      <c r="C440" s="40"/>
      <c r="D440" s="40"/>
      <c r="E440" s="41"/>
      <c r="F440" s="41"/>
      <c r="G440" s="41"/>
      <c r="H440" s="42"/>
      <c r="I440" s="42"/>
      <c r="J440" s="42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2"/>
      <c r="X440" s="42"/>
      <c r="Y440" s="42"/>
      <c r="Z440" s="42"/>
      <c r="AA440" s="42"/>
      <c r="AB440" s="42"/>
      <c r="AC440" s="36"/>
      <c r="AD440" s="36"/>
      <c r="AE440" s="36"/>
      <c r="AF440" s="42"/>
      <c r="AG440" s="36"/>
    </row>
    <row r="441" spans="2:33" s="44" customFormat="1" x14ac:dyDescent="0.3">
      <c r="B441" s="23"/>
      <c r="C441" s="40"/>
      <c r="D441" s="40"/>
      <c r="E441" s="41"/>
      <c r="F441" s="41"/>
      <c r="G441" s="41"/>
      <c r="H441" s="42"/>
      <c r="I441" s="42"/>
      <c r="J441" s="42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2"/>
      <c r="X441" s="42"/>
      <c r="Y441" s="42"/>
      <c r="Z441" s="42"/>
      <c r="AA441" s="42"/>
      <c r="AB441" s="42"/>
      <c r="AC441" s="36"/>
      <c r="AD441" s="36"/>
      <c r="AE441" s="36"/>
      <c r="AF441" s="42"/>
      <c r="AG441" s="36"/>
    </row>
    <row r="442" spans="2:33" s="44" customFormat="1" x14ac:dyDescent="0.3">
      <c r="B442" s="23"/>
      <c r="C442" s="40"/>
      <c r="D442" s="40"/>
      <c r="E442" s="41"/>
      <c r="F442" s="41"/>
      <c r="G442" s="41"/>
      <c r="H442" s="42"/>
      <c r="I442" s="42"/>
      <c r="J442" s="42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2"/>
      <c r="X442" s="42"/>
      <c r="Y442" s="42"/>
      <c r="Z442" s="42"/>
      <c r="AA442" s="42"/>
      <c r="AB442" s="42"/>
      <c r="AC442" s="36"/>
      <c r="AD442" s="36"/>
      <c r="AE442" s="36"/>
      <c r="AF442" s="42"/>
      <c r="AG442" s="36"/>
    </row>
    <row r="443" spans="2:33" s="44" customFormat="1" x14ac:dyDescent="0.3">
      <c r="B443" s="23"/>
      <c r="C443" s="40"/>
      <c r="D443" s="40"/>
      <c r="E443" s="41"/>
      <c r="F443" s="41"/>
      <c r="G443" s="41"/>
      <c r="H443" s="42"/>
      <c r="I443" s="42"/>
      <c r="J443" s="42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2"/>
      <c r="X443" s="42"/>
      <c r="Y443" s="42"/>
      <c r="Z443" s="42"/>
      <c r="AA443" s="42"/>
      <c r="AB443" s="42"/>
      <c r="AC443" s="36"/>
      <c r="AD443" s="36"/>
      <c r="AE443" s="36"/>
      <c r="AF443" s="42"/>
      <c r="AG443" s="36"/>
    </row>
    <row r="444" spans="2:33" s="44" customFormat="1" x14ac:dyDescent="0.3">
      <c r="B444" s="23"/>
      <c r="C444" s="40"/>
      <c r="D444" s="40"/>
      <c r="E444" s="41"/>
      <c r="F444" s="41"/>
      <c r="G444" s="41"/>
      <c r="H444" s="42"/>
      <c r="I444" s="42"/>
      <c r="J444" s="42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2"/>
      <c r="X444" s="42"/>
      <c r="Y444" s="42"/>
      <c r="Z444" s="42"/>
      <c r="AA444" s="42"/>
      <c r="AB444" s="42"/>
      <c r="AC444" s="36"/>
      <c r="AD444" s="36"/>
      <c r="AE444" s="36"/>
      <c r="AF444" s="42"/>
      <c r="AG444" s="36"/>
    </row>
    <row r="445" spans="2:33" s="44" customFormat="1" x14ac:dyDescent="0.3">
      <c r="B445" s="23"/>
      <c r="C445" s="40"/>
      <c r="D445" s="40"/>
      <c r="E445" s="41"/>
      <c r="F445" s="41"/>
      <c r="G445" s="41"/>
      <c r="H445" s="42"/>
      <c r="I445" s="42"/>
      <c r="J445" s="42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2"/>
      <c r="X445" s="42"/>
      <c r="Y445" s="42"/>
      <c r="Z445" s="42"/>
      <c r="AA445" s="42"/>
      <c r="AB445" s="42"/>
      <c r="AC445" s="36"/>
      <c r="AD445" s="36"/>
      <c r="AE445" s="36"/>
      <c r="AF445" s="42"/>
      <c r="AG445" s="36"/>
    </row>
    <row r="446" spans="2:33" s="44" customFormat="1" x14ac:dyDescent="0.3">
      <c r="B446" s="23"/>
      <c r="C446" s="40"/>
      <c r="D446" s="40"/>
      <c r="E446" s="41"/>
      <c r="F446" s="41"/>
      <c r="G446" s="41"/>
      <c r="H446" s="42"/>
      <c r="I446" s="42"/>
      <c r="J446" s="42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2"/>
      <c r="X446" s="42"/>
      <c r="Y446" s="42"/>
      <c r="Z446" s="42"/>
      <c r="AA446" s="42"/>
      <c r="AB446" s="42"/>
      <c r="AC446" s="36"/>
      <c r="AD446" s="36"/>
      <c r="AE446" s="36"/>
      <c r="AF446" s="42"/>
      <c r="AG446" s="36"/>
    </row>
    <row r="447" spans="2:33" s="44" customFormat="1" x14ac:dyDescent="0.3">
      <c r="B447" s="23"/>
      <c r="C447" s="40"/>
      <c r="D447" s="40"/>
      <c r="E447" s="41"/>
      <c r="F447" s="41"/>
      <c r="G447" s="41"/>
      <c r="H447" s="42"/>
      <c r="I447" s="42"/>
      <c r="J447" s="42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2"/>
      <c r="X447" s="42"/>
      <c r="Y447" s="42"/>
      <c r="Z447" s="42"/>
      <c r="AA447" s="42"/>
      <c r="AB447" s="42"/>
      <c r="AC447" s="36"/>
      <c r="AD447" s="36"/>
      <c r="AE447" s="36"/>
      <c r="AF447" s="42"/>
      <c r="AG447" s="36"/>
    </row>
    <row r="448" spans="2:33" s="44" customFormat="1" x14ac:dyDescent="0.3">
      <c r="B448" s="23"/>
      <c r="C448" s="40"/>
      <c r="D448" s="40"/>
      <c r="E448" s="41"/>
      <c r="F448" s="41"/>
      <c r="G448" s="41"/>
      <c r="H448" s="42"/>
      <c r="I448" s="42"/>
      <c r="J448" s="42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2"/>
      <c r="X448" s="42"/>
      <c r="Y448" s="42"/>
      <c r="Z448" s="42"/>
      <c r="AA448" s="42"/>
      <c r="AB448" s="42"/>
      <c r="AC448" s="36"/>
      <c r="AD448" s="36"/>
      <c r="AE448" s="36"/>
      <c r="AF448" s="42"/>
      <c r="AG448" s="36"/>
    </row>
    <row r="449" spans="2:33" s="44" customFormat="1" x14ac:dyDescent="0.3">
      <c r="B449" s="23"/>
      <c r="C449" s="40"/>
      <c r="D449" s="40"/>
      <c r="E449" s="41"/>
      <c r="F449" s="41"/>
      <c r="G449" s="41"/>
      <c r="H449" s="42"/>
      <c r="I449" s="42"/>
      <c r="J449" s="42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2"/>
      <c r="X449" s="42"/>
      <c r="Y449" s="42"/>
      <c r="Z449" s="42"/>
      <c r="AA449" s="42"/>
      <c r="AB449" s="42"/>
      <c r="AC449" s="36"/>
      <c r="AD449" s="36"/>
      <c r="AE449" s="36"/>
      <c r="AF449" s="42"/>
      <c r="AG449" s="36"/>
    </row>
    <row r="450" spans="2:33" s="44" customFormat="1" x14ac:dyDescent="0.3">
      <c r="B450" s="23"/>
      <c r="C450" s="40"/>
      <c r="D450" s="40"/>
      <c r="E450" s="41"/>
      <c r="F450" s="41"/>
      <c r="G450" s="41"/>
      <c r="H450" s="42"/>
      <c r="I450" s="42"/>
      <c r="J450" s="42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2"/>
      <c r="X450" s="42"/>
      <c r="Y450" s="42"/>
      <c r="Z450" s="42"/>
      <c r="AA450" s="42"/>
      <c r="AB450" s="42"/>
      <c r="AC450" s="36"/>
      <c r="AD450" s="36"/>
      <c r="AE450" s="36"/>
      <c r="AF450" s="42"/>
      <c r="AG450" s="36"/>
    </row>
    <row r="451" spans="2:33" s="44" customFormat="1" x14ac:dyDescent="0.3">
      <c r="B451" s="23"/>
      <c r="C451" s="40"/>
      <c r="D451" s="40"/>
      <c r="E451" s="41"/>
      <c r="F451" s="41"/>
      <c r="G451" s="41"/>
      <c r="H451" s="42"/>
      <c r="I451" s="42"/>
      <c r="J451" s="42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2"/>
      <c r="X451" s="42"/>
      <c r="Y451" s="42"/>
      <c r="Z451" s="42"/>
      <c r="AA451" s="42"/>
      <c r="AB451" s="42"/>
      <c r="AC451" s="36"/>
      <c r="AD451" s="36"/>
      <c r="AE451" s="36"/>
      <c r="AF451" s="42"/>
      <c r="AG451" s="36"/>
    </row>
    <row r="452" spans="2:33" s="44" customFormat="1" x14ac:dyDescent="0.3">
      <c r="B452" s="23"/>
      <c r="C452" s="40"/>
      <c r="D452" s="40"/>
      <c r="E452" s="41"/>
      <c r="F452" s="41"/>
      <c r="G452" s="41"/>
      <c r="H452" s="42"/>
      <c r="I452" s="42"/>
      <c r="J452" s="42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2"/>
      <c r="X452" s="42"/>
      <c r="Y452" s="42"/>
      <c r="Z452" s="42"/>
      <c r="AA452" s="42"/>
      <c r="AB452" s="42"/>
      <c r="AC452" s="36"/>
      <c r="AD452" s="36"/>
      <c r="AE452" s="36"/>
      <c r="AF452" s="42"/>
      <c r="AG452" s="36"/>
    </row>
    <row r="453" spans="2:33" s="44" customFormat="1" x14ac:dyDescent="0.3">
      <c r="B453" s="23"/>
      <c r="C453" s="40"/>
      <c r="D453" s="40"/>
      <c r="E453" s="41"/>
      <c r="F453" s="41"/>
      <c r="G453" s="41"/>
      <c r="H453" s="42"/>
      <c r="I453" s="42"/>
      <c r="J453" s="42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2"/>
      <c r="X453" s="42"/>
      <c r="Y453" s="42"/>
      <c r="Z453" s="42"/>
      <c r="AA453" s="42"/>
      <c r="AB453" s="42"/>
      <c r="AC453" s="36"/>
      <c r="AD453" s="36"/>
      <c r="AE453" s="36"/>
      <c r="AF453" s="42"/>
      <c r="AG453" s="36"/>
    </row>
    <row r="454" spans="2:33" s="44" customFormat="1" x14ac:dyDescent="0.3">
      <c r="B454" s="23"/>
      <c r="C454" s="40"/>
      <c r="D454" s="40"/>
      <c r="E454" s="41"/>
      <c r="F454" s="41"/>
      <c r="G454" s="41"/>
      <c r="H454" s="42"/>
      <c r="I454" s="42"/>
      <c r="J454" s="42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2"/>
      <c r="X454" s="42"/>
      <c r="Y454" s="42"/>
      <c r="Z454" s="42"/>
      <c r="AA454" s="42"/>
      <c r="AB454" s="42"/>
      <c r="AC454" s="36"/>
      <c r="AD454" s="36"/>
      <c r="AE454" s="36"/>
      <c r="AF454" s="42"/>
      <c r="AG454" s="36"/>
    </row>
    <row r="455" spans="2:33" s="44" customFormat="1" x14ac:dyDescent="0.3">
      <c r="B455" s="23"/>
      <c r="C455" s="40"/>
      <c r="D455" s="40"/>
      <c r="E455" s="41"/>
      <c r="F455" s="41"/>
      <c r="G455" s="41"/>
      <c r="H455" s="42"/>
      <c r="I455" s="42"/>
      <c r="J455" s="42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2"/>
      <c r="X455" s="42"/>
      <c r="Y455" s="42"/>
      <c r="Z455" s="42"/>
      <c r="AA455" s="42"/>
      <c r="AB455" s="42"/>
      <c r="AC455" s="36"/>
      <c r="AD455" s="36"/>
      <c r="AE455" s="36"/>
      <c r="AF455" s="42"/>
      <c r="AG455" s="36"/>
    </row>
    <row r="456" spans="2:33" s="44" customFormat="1" x14ac:dyDescent="0.3">
      <c r="B456" s="23"/>
      <c r="C456" s="40"/>
      <c r="D456" s="40"/>
      <c r="E456" s="41"/>
      <c r="F456" s="41"/>
      <c r="G456" s="41"/>
      <c r="H456" s="42"/>
      <c r="I456" s="42"/>
      <c r="J456" s="42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2"/>
      <c r="X456" s="42"/>
      <c r="Y456" s="42"/>
      <c r="Z456" s="42"/>
      <c r="AA456" s="42"/>
      <c r="AB456" s="42"/>
      <c r="AC456" s="36"/>
      <c r="AD456" s="36"/>
      <c r="AE456" s="36"/>
      <c r="AF456" s="42"/>
      <c r="AG456" s="36"/>
    </row>
    <row r="457" spans="2:33" s="44" customFormat="1" x14ac:dyDescent="0.3">
      <c r="B457" s="23"/>
      <c r="C457" s="40"/>
      <c r="D457" s="40"/>
      <c r="E457" s="41"/>
      <c r="F457" s="41"/>
      <c r="G457" s="41"/>
      <c r="H457" s="42"/>
      <c r="I457" s="42"/>
      <c r="J457" s="42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2"/>
      <c r="X457" s="42"/>
      <c r="Y457" s="42"/>
      <c r="Z457" s="42"/>
      <c r="AA457" s="42"/>
      <c r="AB457" s="42"/>
      <c r="AC457" s="36"/>
      <c r="AD457" s="36"/>
      <c r="AE457" s="36"/>
      <c r="AF457" s="42"/>
      <c r="AG457" s="36"/>
    </row>
    <row r="458" spans="2:33" s="44" customFormat="1" x14ac:dyDescent="0.3">
      <c r="B458" s="23"/>
      <c r="C458" s="40"/>
      <c r="D458" s="40"/>
      <c r="E458" s="41"/>
      <c r="F458" s="41"/>
      <c r="G458" s="41"/>
      <c r="H458" s="42"/>
      <c r="I458" s="42"/>
      <c r="J458" s="42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2"/>
      <c r="X458" s="42"/>
      <c r="Y458" s="42"/>
      <c r="Z458" s="42"/>
      <c r="AA458" s="42"/>
      <c r="AB458" s="42"/>
      <c r="AC458" s="36"/>
      <c r="AD458" s="36"/>
      <c r="AE458" s="36"/>
      <c r="AF458" s="42"/>
      <c r="AG458" s="36"/>
    </row>
    <row r="459" spans="2:33" s="44" customFormat="1" x14ac:dyDescent="0.3">
      <c r="B459" s="23"/>
      <c r="C459" s="40"/>
      <c r="D459" s="40"/>
      <c r="E459" s="41"/>
      <c r="F459" s="41"/>
      <c r="G459" s="41"/>
      <c r="H459" s="42"/>
      <c r="I459" s="42"/>
      <c r="J459" s="42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2"/>
      <c r="X459" s="42"/>
      <c r="Y459" s="42"/>
      <c r="Z459" s="42"/>
      <c r="AA459" s="42"/>
      <c r="AB459" s="42"/>
      <c r="AC459" s="36"/>
      <c r="AD459" s="36"/>
      <c r="AE459" s="36"/>
      <c r="AF459" s="42"/>
      <c r="AG459" s="36"/>
    </row>
    <row r="460" spans="2:33" s="44" customFormat="1" x14ac:dyDescent="0.3">
      <c r="B460" s="23"/>
      <c r="C460" s="40"/>
      <c r="D460" s="40"/>
      <c r="E460" s="41"/>
      <c r="F460" s="41"/>
      <c r="G460" s="41"/>
      <c r="H460" s="42"/>
      <c r="I460" s="42"/>
      <c r="J460" s="42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2"/>
      <c r="X460" s="42"/>
      <c r="Y460" s="42"/>
      <c r="Z460" s="42"/>
      <c r="AA460" s="42"/>
      <c r="AB460" s="42"/>
      <c r="AC460" s="36"/>
      <c r="AD460" s="36"/>
      <c r="AE460" s="36"/>
      <c r="AF460" s="42"/>
      <c r="AG460" s="36"/>
    </row>
    <row r="461" spans="2:33" s="44" customFormat="1" x14ac:dyDescent="0.3">
      <c r="B461" s="23"/>
      <c r="C461" s="40"/>
      <c r="D461" s="40"/>
      <c r="E461" s="41"/>
      <c r="F461" s="41"/>
      <c r="G461" s="41"/>
      <c r="H461" s="42"/>
      <c r="I461" s="42"/>
      <c r="J461" s="42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2"/>
      <c r="X461" s="42"/>
      <c r="Y461" s="42"/>
      <c r="Z461" s="42"/>
      <c r="AA461" s="42"/>
      <c r="AB461" s="42"/>
      <c r="AC461" s="36"/>
      <c r="AD461" s="36"/>
      <c r="AE461" s="36"/>
      <c r="AF461" s="42"/>
      <c r="AG461" s="36"/>
    </row>
    <row r="462" spans="2:33" s="44" customFormat="1" x14ac:dyDescent="0.3">
      <c r="B462" s="23"/>
      <c r="C462" s="40"/>
      <c r="D462" s="40"/>
      <c r="E462" s="41"/>
      <c r="F462" s="41"/>
      <c r="G462" s="41"/>
      <c r="H462" s="42"/>
      <c r="I462" s="42"/>
      <c r="J462" s="42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2"/>
      <c r="X462" s="42"/>
      <c r="Y462" s="42"/>
      <c r="Z462" s="42"/>
      <c r="AA462" s="42"/>
      <c r="AB462" s="42"/>
      <c r="AC462" s="36"/>
      <c r="AD462" s="36"/>
      <c r="AE462" s="36"/>
      <c r="AF462" s="42"/>
      <c r="AG462" s="36"/>
    </row>
    <row r="463" spans="2:33" s="44" customFormat="1" x14ac:dyDescent="0.3">
      <c r="B463" s="23"/>
      <c r="C463" s="40"/>
      <c r="D463" s="40"/>
      <c r="E463" s="41"/>
      <c r="F463" s="41"/>
      <c r="G463" s="41"/>
      <c r="H463" s="42"/>
      <c r="I463" s="42"/>
      <c r="J463" s="42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2"/>
      <c r="X463" s="42"/>
      <c r="Y463" s="42"/>
      <c r="Z463" s="42"/>
      <c r="AA463" s="42"/>
      <c r="AB463" s="42"/>
      <c r="AC463" s="36"/>
      <c r="AD463" s="36"/>
      <c r="AE463" s="36"/>
      <c r="AF463" s="42"/>
      <c r="AG463" s="36"/>
    </row>
    <row r="464" spans="2:33" s="44" customFormat="1" x14ac:dyDescent="0.3">
      <c r="B464" s="23"/>
      <c r="C464" s="40"/>
      <c r="D464" s="40"/>
      <c r="E464" s="41"/>
      <c r="F464" s="41"/>
      <c r="G464" s="41"/>
      <c r="H464" s="42"/>
      <c r="I464" s="42"/>
      <c r="J464" s="42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2"/>
      <c r="X464" s="42"/>
      <c r="Y464" s="42"/>
      <c r="Z464" s="42"/>
      <c r="AA464" s="42"/>
      <c r="AB464" s="42"/>
      <c r="AC464" s="36"/>
      <c r="AD464" s="36"/>
      <c r="AE464" s="36"/>
      <c r="AF464" s="42"/>
      <c r="AG464" s="36"/>
    </row>
    <row r="465" spans="2:33" s="44" customFormat="1" x14ac:dyDescent="0.3">
      <c r="B465" s="23"/>
      <c r="C465" s="40"/>
      <c r="D465" s="40"/>
      <c r="E465" s="41"/>
      <c r="F465" s="41"/>
      <c r="G465" s="41"/>
      <c r="H465" s="42"/>
      <c r="I465" s="42"/>
      <c r="J465" s="42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2"/>
      <c r="X465" s="42"/>
      <c r="Y465" s="42"/>
      <c r="Z465" s="42"/>
      <c r="AA465" s="42"/>
      <c r="AB465" s="42"/>
      <c r="AC465" s="36"/>
      <c r="AD465" s="36"/>
      <c r="AE465" s="36"/>
      <c r="AF465" s="42"/>
      <c r="AG465" s="36"/>
    </row>
    <row r="466" spans="2:33" s="44" customFormat="1" x14ac:dyDescent="0.3">
      <c r="B466" s="23"/>
      <c r="C466" s="40"/>
      <c r="D466" s="40"/>
      <c r="E466" s="41"/>
      <c r="F466" s="41"/>
      <c r="G466" s="41"/>
      <c r="H466" s="42"/>
      <c r="I466" s="42"/>
      <c r="J466" s="42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2"/>
      <c r="X466" s="42"/>
      <c r="Y466" s="42"/>
      <c r="Z466" s="42"/>
      <c r="AA466" s="42"/>
      <c r="AB466" s="42"/>
      <c r="AC466" s="36"/>
      <c r="AD466" s="36"/>
      <c r="AE466" s="36"/>
      <c r="AF466" s="42"/>
      <c r="AG466" s="36"/>
    </row>
    <row r="467" spans="2:33" s="44" customFormat="1" x14ac:dyDescent="0.3">
      <c r="B467" s="23"/>
      <c r="C467" s="40"/>
      <c r="D467" s="40"/>
      <c r="E467" s="41"/>
      <c r="F467" s="41"/>
      <c r="G467" s="41"/>
      <c r="H467" s="42"/>
      <c r="I467" s="42"/>
      <c r="J467" s="42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2"/>
      <c r="X467" s="42"/>
      <c r="Y467" s="42"/>
      <c r="Z467" s="42"/>
      <c r="AA467" s="42"/>
      <c r="AB467" s="42"/>
      <c r="AC467" s="36"/>
      <c r="AD467" s="36"/>
      <c r="AE467" s="36"/>
      <c r="AF467" s="42"/>
      <c r="AG467" s="36"/>
    </row>
    <row r="468" spans="2:33" s="44" customFormat="1" x14ac:dyDescent="0.3">
      <c r="B468" s="23"/>
      <c r="C468" s="40"/>
      <c r="D468" s="40"/>
      <c r="E468" s="41"/>
      <c r="F468" s="41"/>
      <c r="G468" s="41"/>
      <c r="H468" s="42"/>
      <c r="I468" s="42"/>
      <c r="J468" s="42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2"/>
      <c r="X468" s="42"/>
      <c r="Y468" s="42"/>
      <c r="Z468" s="42"/>
      <c r="AA468" s="42"/>
      <c r="AB468" s="42"/>
      <c r="AC468" s="36"/>
      <c r="AD468" s="36"/>
      <c r="AE468" s="36"/>
      <c r="AF468" s="42"/>
      <c r="AG468" s="36"/>
    </row>
    <row r="469" spans="2:33" s="44" customFormat="1" x14ac:dyDescent="0.3">
      <c r="B469" s="23"/>
      <c r="C469" s="40"/>
      <c r="D469" s="40"/>
      <c r="E469" s="41"/>
      <c r="F469" s="41"/>
      <c r="G469" s="41"/>
      <c r="H469" s="42"/>
      <c r="I469" s="42"/>
      <c r="J469" s="42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2"/>
      <c r="X469" s="42"/>
      <c r="Y469" s="42"/>
      <c r="Z469" s="42"/>
      <c r="AA469" s="42"/>
      <c r="AB469" s="42"/>
      <c r="AC469" s="36"/>
      <c r="AD469" s="36"/>
      <c r="AE469" s="36"/>
      <c r="AF469" s="42"/>
      <c r="AG469" s="36"/>
    </row>
    <row r="470" spans="2:33" s="44" customFormat="1" x14ac:dyDescent="0.3">
      <c r="B470" s="23"/>
      <c r="C470" s="40"/>
      <c r="D470" s="40"/>
      <c r="E470" s="41"/>
      <c r="F470" s="41"/>
      <c r="G470" s="41"/>
      <c r="H470" s="42"/>
      <c r="I470" s="42"/>
      <c r="J470" s="42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2"/>
      <c r="X470" s="42"/>
      <c r="Y470" s="42"/>
      <c r="Z470" s="42"/>
      <c r="AA470" s="42"/>
      <c r="AB470" s="42"/>
      <c r="AC470" s="36"/>
      <c r="AD470" s="36"/>
      <c r="AE470" s="36"/>
      <c r="AF470" s="42"/>
      <c r="AG470" s="36"/>
    </row>
    <row r="471" spans="2:33" s="44" customFormat="1" x14ac:dyDescent="0.3">
      <c r="B471" s="23"/>
      <c r="C471" s="40"/>
      <c r="D471" s="40"/>
      <c r="E471" s="41"/>
      <c r="F471" s="41"/>
      <c r="G471" s="41"/>
      <c r="H471" s="42"/>
      <c r="I471" s="42"/>
      <c r="J471" s="42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2"/>
      <c r="X471" s="42"/>
      <c r="Y471" s="42"/>
      <c r="Z471" s="42"/>
      <c r="AA471" s="42"/>
      <c r="AB471" s="42"/>
      <c r="AC471" s="36"/>
      <c r="AD471" s="36"/>
      <c r="AE471" s="36"/>
      <c r="AF471" s="42"/>
      <c r="AG471" s="36"/>
    </row>
    <row r="472" spans="2:33" s="44" customFormat="1" x14ac:dyDescent="0.3">
      <c r="B472" s="23"/>
      <c r="C472" s="40"/>
      <c r="D472" s="40"/>
      <c r="E472" s="41"/>
      <c r="F472" s="41"/>
      <c r="G472" s="41"/>
      <c r="H472" s="42"/>
      <c r="I472" s="42"/>
      <c r="J472" s="42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2"/>
      <c r="X472" s="42"/>
      <c r="Y472" s="42"/>
      <c r="Z472" s="42"/>
      <c r="AA472" s="42"/>
      <c r="AB472" s="42"/>
      <c r="AC472" s="36"/>
      <c r="AD472" s="36"/>
      <c r="AE472" s="36"/>
      <c r="AF472" s="42"/>
      <c r="AG472" s="36"/>
    </row>
    <row r="473" spans="2:33" s="44" customFormat="1" x14ac:dyDescent="0.3">
      <c r="B473" s="23"/>
      <c r="C473" s="40"/>
      <c r="D473" s="40"/>
      <c r="E473" s="41"/>
      <c r="F473" s="41"/>
      <c r="G473" s="41"/>
      <c r="H473" s="42"/>
      <c r="I473" s="42"/>
      <c r="J473" s="42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2"/>
      <c r="X473" s="42"/>
      <c r="Y473" s="42"/>
      <c r="Z473" s="42"/>
      <c r="AA473" s="42"/>
      <c r="AB473" s="42"/>
      <c r="AC473" s="36"/>
      <c r="AD473" s="36"/>
      <c r="AE473" s="36"/>
      <c r="AF473" s="42"/>
      <c r="AG473" s="36"/>
    </row>
    <row r="474" spans="2:33" s="44" customFormat="1" x14ac:dyDescent="0.3">
      <c r="B474" s="23"/>
      <c r="C474" s="40"/>
      <c r="D474" s="40"/>
      <c r="E474" s="41"/>
      <c r="F474" s="41"/>
      <c r="G474" s="41"/>
      <c r="H474" s="42"/>
      <c r="I474" s="42"/>
      <c r="J474" s="42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2"/>
      <c r="X474" s="42"/>
      <c r="Y474" s="42"/>
      <c r="Z474" s="42"/>
      <c r="AA474" s="42"/>
      <c r="AB474" s="42"/>
      <c r="AC474" s="36"/>
      <c r="AD474" s="36"/>
      <c r="AE474" s="36"/>
      <c r="AF474" s="42"/>
      <c r="AG474" s="36"/>
    </row>
    <row r="475" spans="2:33" s="44" customFormat="1" x14ac:dyDescent="0.3">
      <c r="B475" s="23"/>
      <c r="C475" s="40"/>
      <c r="D475" s="40"/>
      <c r="E475" s="41"/>
      <c r="F475" s="41"/>
      <c r="G475" s="41"/>
      <c r="H475" s="42"/>
      <c r="I475" s="42"/>
      <c r="J475" s="42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2"/>
      <c r="X475" s="42"/>
      <c r="Y475" s="42"/>
      <c r="Z475" s="42"/>
      <c r="AA475" s="42"/>
      <c r="AB475" s="42"/>
      <c r="AC475" s="36"/>
      <c r="AD475" s="36"/>
      <c r="AE475" s="36"/>
      <c r="AF475" s="42"/>
      <c r="AG475" s="36"/>
    </row>
    <row r="476" spans="2:33" s="44" customFormat="1" x14ac:dyDescent="0.3">
      <c r="B476" s="23"/>
      <c r="C476" s="40"/>
      <c r="D476" s="40"/>
      <c r="E476" s="41"/>
      <c r="F476" s="41"/>
      <c r="G476" s="41"/>
      <c r="H476" s="42"/>
      <c r="I476" s="42"/>
      <c r="J476" s="42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2"/>
      <c r="X476" s="42"/>
      <c r="Y476" s="42"/>
      <c r="Z476" s="42"/>
      <c r="AA476" s="42"/>
      <c r="AB476" s="42"/>
      <c r="AC476" s="36"/>
      <c r="AD476" s="36"/>
      <c r="AE476" s="36"/>
      <c r="AF476" s="42"/>
      <c r="AG476" s="36"/>
    </row>
    <row r="477" spans="2:33" s="44" customFormat="1" x14ac:dyDescent="0.3">
      <c r="B477" s="23"/>
      <c r="C477" s="40"/>
      <c r="D477" s="40"/>
      <c r="E477" s="41"/>
      <c r="F477" s="41"/>
      <c r="G477" s="41"/>
      <c r="H477" s="42"/>
      <c r="I477" s="42"/>
      <c r="J477" s="42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2"/>
      <c r="X477" s="42"/>
      <c r="Y477" s="42"/>
      <c r="Z477" s="42"/>
      <c r="AA477" s="42"/>
      <c r="AB477" s="42"/>
      <c r="AC477" s="36"/>
      <c r="AD477" s="36"/>
      <c r="AE477" s="36"/>
      <c r="AF477" s="42"/>
      <c r="AG477" s="36"/>
    </row>
    <row r="478" spans="2:33" s="44" customFormat="1" x14ac:dyDescent="0.3">
      <c r="B478" s="23"/>
      <c r="C478" s="40"/>
      <c r="D478" s="40"/>
      <c r="E478" s="41"/>
      <c r="F478" s="41"/>
      <c r="G478" s="41"/>
      <c r="H478" s="42"/>
      <c r="I478" s="42"/>
      <c r="J478" s="42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2"/>
      <c r="X478" s="42"/>
      <c r="Y478" s="42"/>
      <c r="Z478" s="42"/>
      <c r="AA478" s="42"/>
      <c r="AB478" s="42"/>
      <c r="AC478" s="36"/>
      <c r="AD478" s="36"/>
      <c r="AE478" s="36"/>
      <c r="AF478" s="42"/>
      <c r="AG478" s="36"/>
    </row>
    <row r="479" spans="2:33" s="44" customFormat="1" x14ac:dyDescent="0.3">
      <c r="B479" s="23"/>
      <c r="C479" s="40"/>
      <c r="D479" s="40"/>
      <c r="E479" s="41"/>
      <c r="F479" s="41"/>
      <c r="G479" s="41"/>
      <c r="H479" s="42"/>
      <c r="I479" s="42"/>
      <c r="J479" s="42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2"/>
      <c r="X479" s="42"/>
      <c r="Y479" s="42"/>
      <c r="Z479" s="42"/>
      <c r="AA479" s="42"/>
      <c r="AB479" s="42"/>
      <c r="AC479" s="36"/>
      <c r="AD479" s="36"/>
      <c r="AE479" s="36"/>
      <c r="AF479" s="42"/>
      <c r="AG479" s="36"/>
    </row>
    <row r="480" spans="2:33" s="44" customFormat="1" x14ac:dyDescent="0.3">
      <c r="B480" s="23"/>
      <c r="C480" s="40"/>
      <c r="D480" s="40"/>
      <c r="E480" s="41"/>
      <c r="F480" s="41"/>
      <c r="G480" s="41"/>
      <c r="H480" s="42"/>
      <c r="I480" s="42"/>
      <c r="J480" s="42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2"/>
      <c r="X480" s="42"/>
      <c r="Y480" s="42"/>
      <c r="Z480" s="42"/>
      <c r="AA480" s="42"/>
      <c r="AB480" s="42"/>
      <c r="AC480" s="36"/>
      <c r="AD480" s="36"/>
      <c r="AE480" s="36"/>
      <c r="AF480" s="42"/>
      <c r="AG480" s="36"/>
    </row>
    <row r="481" spans="2:33" s="44" customFormat="1" x14ac:dyDescent="0.3">
      <c r="B481" s="23"/>
      <c r="C481" s="40"/>
      <c r="D481" s="40"/>
      <c r="E481" s="41"/>
      <c r="F481" s="41"/>
      <c r="G481" s="41"/>
      <c r="H481" s="42"/>
      <c r="I481" s="42"/>
      <c r="J481" s="42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2"/>
      <c r="X481" s="42"/>
      <c r="Y481" s="42"/>
      <c r="Z481" s="42"/>
      <c r="AA481" s="42"/>
      <c r="AB481" s="42"/>
      <c r="AC481" s="36"/>
      <c r="AD481" s="36"/>
      <c r="AE481" s="36"/>
      <c r="AF481" s="42"/>
      <c r="AG481" s="36"/>
    </row>
    <row r="482" spans="2:33" s="44" customFormat="1" x14ac:dyDescent="0.3">
      <c r="B482" s="23"/>
      <c r="C482" s="40"/>
      <c r="D482" s="40"/>
      <c r="E482" s="41"/>
      <c r="F482" s="41"/>
      <c r="G482" s="41"/>
      <c r="H482" s="42"/>
      <c r="I482" s="42"/>
      <c r="J482" s="42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2"/>
      <c r="X482" s="42"/>
      <c r="Y482" s="42"/>
      <c r="Z482" s="42"/>
      <c r="AA482" s="42"/>
      <c r="AB482" s="42"/>
      <c r="AC482" s="36"/>
      <c r="AD482" s="36"/>
      <c r="AE482" s="36"/>
      <c r="AF482" s="42"/>
      <c r="AG482" s="36"/>
    </row>
    <row r="483" spans="2:33" s="44" customFormat="1" x14ac:dyDescent="0.3">
      <c r="B483" s="23"/>
      <c r="C483" s="40"/>
      <c r="D483" s="40"/>
      <c r="E483" s="41"/>
      <c r="F483" s="41"/>
      <c r="G483" s="41"/>
      <c r="H483" s="42"/>
      <c r="I483" s="42"/>
      <c r="J483" s="42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2"/>
      <c r="X483" s="42"/>
      <c r="Y483" s="42"/>
      <c r="Z483" s="42"/>
      <c r="AA483" s="42"/>
      <c r="AB483" s="42"/>
      <c r="AC483" s="36"/>
      <c r="AD483" s="36"/>
      <c r="AE483" s="36"/>
      <c r="AF483" s="42"/>
      <c r="AG483" s="36"/>
    </row>
    <row r="484" spans="2:33" s="44" customFormat="1" x14ac:dyDescent="0.3">
      <c r="B484" s="23"/>
      <c r="C484" s="40"/>
      <c r="D484" s="40"/>
      <c r="E484" s="41"/>
      <c r="F484" s="41"/>
      <c r="G484" s="41"/>
      <c r="H484" s="42"/>
      <c r="I484" s="42"/>
      <c r="J484" s="42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2"/>
      <c r="X484" s="42"/>
      <c r="Y484" s="42"/>
      <c r="Z484" s="42"/>
      <c r="AA484" s="42"/>
      <c r="AB484" s="42"/>
      <c r="AC484" s="36"/>
      <c r="AD484" s="36"/>
      <c r="AE484" s="36"/>
      <c r="AF484" s="42"/>
      <c r="AG484" s="36"/>
    </row>
    <row r="485" spans="2:33" s="44" customFormat="1" x14ac:dyDescent="0.3">
      <c r="B485" s="23"/>
      <c r="C485" s="40"/>
      <c r="D485" s="40"/>
      <c r="E485" s="41"/>
      <c r="F485" s="41"/>
      <c r="G485" s="41"/>
      <c r="H485" s="42"/>
      <c r="I485" s="42"/>
      <c r="J485" s="42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2"/>
      <c r="X485" s="42"/>
      <c r="Y485" s="42"/>
      <c r="Z485" s="42"/>
      <c r="AA485" s="42"/>
      <c r="AB485" s="42"/>
      <c r="AC485" s="36"/>
      <c r="AD485" s="36"/>
      <c r="AE485" s="36"/>
      <c r="AF485" s="42"/>
      <c r="AG485" s="36"/>
    </row>
    <row r="486" spans="2:33" s="44" customFormat="1" x14ac:dyDescent="0.3">
      <c r="B486" s="23"/>
      <c r="C486" s="40"/>
      <c r="D486" s="40"/>
      <c r="E486" s="41"/>
      <c r="F486" s="41"/>
      <c r="G486" s="41"/>
      <c r="H486" s="42"/>
      <c r="I486" s="42"/>
      <c r="J486" s="42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2"/>
      <c r="X486" s="42"/>
      <c r="Y486" s="42"/>
      <c r="Z486" s="42"/>
      <c r="AA486" s="42"/>
      <c r="AB486" s="42"/>
      <c r="AC486" s="36"/>
      <c r="AD486" s="36"/>
      <c r="AE486" s="36"/>
      <c r="AF486" s="42"/>
      <c r="AG486" s="36"/>
    </row>
    <row r="487" spans="2:33" s="44" customFormat="1" x14ac:dyDescent="0.3">
      <c r="B487" s="23"/>
      <c r="C487" s="40"/>
      <c r="D487" s="40"/>
      <c r="E487" s="41"/>
      <c r="F487" s="41"/>
      <c r="G487" s="41"/>
      <c r="H487" s="42"/>
      <c r="I487" s="42"/>
      <c r="J487" s="42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2"/>
      <c r="X487" s="42"/>
      <c r="Y487" s="42"/>
      <c r="Z487" s="42"/>
      <c r="AA487" s="42"/>
      <c r="AB487" s="42"/>
      <c r="AC487" s="36"/>
      <c r="AD487" s="36"/>
      <c r="AE487" s="36"/>
      <c r="AF487" s="42"/>
      <c r="AG487" s="36"/>
    </row>
    <row r="488" spans="2:33" s="44" customFormat="1" x14ac:dyDescent="0.3">
      <c r="B488" s="23"/>
      <c r="C488" s="40"/>
      <c r="D488" s="40"/>
      <c r="E488" s="41"/>
      <c r="F488" s="41"/>
      <c r="G488" s="41"/>
      <c r="H488" s="42"/>
      <c r="I488" s="42"/>
      <c r="J488" s="42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2"/>
      <c r="X488" s="42"/>
      <c r="Y488" s="42"/>
      <c r="Z488" s="42"/>
      <c r="AA488" s="42"/>
      <c r="AB488" s="42"/>
      <c r="AC488" s="36"/>
      <c r="AD488" s="36"/>
      <c r="AE488" s="36"/>
      <c r="AF488" s="42"/>
      <c r="AG488" s="36"/>
    </row>
    <row r="489" spans="2:33" s="44" customFormat="1" x14ac:dyDescent="0.3">
      <c r="B489" s="23"/>
      <c r="C489" s="40"/>
      <c r="D489" s="40"/>
      <c r="E489" s="41"/>
      <c r="F489" s="41"/>
      <c r="G489" s="41"/>
      <c r="H489" s="42"/>
      <c r="I489" s="42"/>
      <c r="J489" s="42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2"/>
      <c r="X489" s="42"/>
      <c r="Y489" s="42"/>
      <c r="Z489" s="42"/>
      <c r="AA489" s="42"/>
      <c r="AB489" s="42"/>
      <c r="AC489" s="36"/>
      <c r="AD489" s="36"/>
      <c r="AE489" s="36"/>
      <c r="AF489" s="42"/>
      <c r="AG489" s="36"/>
    </row>
    <row r="490" spans="2:33" s="44" customFormat="1" x14ac:dyDescent="0.3">
      <c r="B490" s="23"/>
      <c r="C490" s="40"/>
      <c r="D490" s="40"/>
      <c r="E490" s="41"/>
      <c r="F490" s="41"/>
      <c r="G490" s="41"/>
      <c r="H490" s="42"/>
      <c r="I490" s="42"/>
      <c r="J490" s="42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2"/>
      <c r="X490" s="42"/>
      <c r="Y490" s="42"/>
      <c r="Z490" s="42"/>
      <c r="AA490" s="42"/>
      <c r="AB490" s="42"/>
      <c r="AC490" s="36"/>
      <c r="AD490" s="36"/>
      <c r="AE490" s="36"/>
      <c r="AF490" s="42"/>
      <c r="AG490" s="36"/>
    </row>
    <row r="491" spans="2:33" s="44" customFormat="1" x14ac:dyDescent="0.3">
      <c r="B491" s="23"/>
      <c r="C491" s="40"/>
      <c r="D491" s="40"/>
      <c r="E491" s="41"/>
      <c r="F491" s="41"/>
      <c r="G491" s="41"/>
      <c r="H491" s="42"/>
      <c r="I491" s="42"/>
      <c r="J491" s="42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2"/>
      <c r="X491" s="42"/>
      <c r="Y491" s="42"/>
      <c r="Z491" s="42"/>
      <c r="AA491" s="42"/>
      <c r="AB491" s="42"/>
      <c r="AC491" s="36"/>
      <c r="AD491" s="36"/>
      <c r="AE491" s="36"/>
      <c r="AF491" s="42"/>
      <c r="AG491" s="36"/>
    </row>
    <row r="492" spans="2:33" s="44" customFormat="1" x14ac:dyDescent="0.3">
      <c r="B492" s="23"/>
      <c r="C492" s="40"/>
      <c r="D492" s="40"/>
      <c r="E492" s="41"/>
      <c r="F492" s="41"/>
      <c r="G492" s="41"/>
      <c r="H492" s="42"/>
      <c r="I492" s="42"/>
      <c r="J492" s="42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2"/>
      <c r="X492" s="42"/>
      <c r="Y492" s="42"/>
      <c r="Z492" s="42"/>
      <c r="AA492" s="42"/>
      <c r="AB492" s="42"/>
      <c r="AC492" s="36"/>
      <c r="AD492" s="36"/>
      <c r="AE492" s="36"/>
      <c r="AF492" s="42"/>
      <c r="AG492" s="36"/>
    </row>
    <row r="493" spans="2:33" s="44" customFormat="1" x14ac:dyDescent="0.3">
      <c r="B493" s="23"/>
      <c r="C493" s="40"/>
      <c r="D493" s="40"/>
      <c r="E493" s="41"/>
      <c r="F493" s="41"/>
      <c r="G493" s="41"/>
      <c r="H493" s="42"/>
      <c r="I493" s="42"/>
      <c r="J493" s="42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2"/>
      <c r="X493" s="42"/>
      <c r="Y493" s="42"/>
      <c r="Z493" s="42"/>
      <c r="AA493" s="42"/>
      <c r="AB493" s="42"/>
      <c r="AC493" s="36"/>
      <c r="AD493" s="36"/>
      <c r="AE493" s="36"/>
      <c r="AF493" s="42"/>
      <c r="AG493" s="36"/>
    </row>
    <row r="494" spans="2:33" s="44" customFormat="1" x14ac:dyDescent="0.3">
      <c r="B494" s="23"/>
      <c r="C494" s="40"/>
      <c r="D494" s="40"/>
      <c r="E494" s="41"/>
      <c r="F494" s="41"/>
      <c r="G494" s="41"/>
      <c r="H494" s="42"/>
      <c r="I494" s="42"/>
      <c r="J494" s="42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2"/>
      <c r="X494" s="42"/>
      <c r="Y494" s="42"/>
      <c r="Z494" s="42"/>
      <c r="AA494" s="42"/>
      <c r="AB494" s="42"/>
      <c r="AC494" s="36"/>
      <c r="AD494" s="36"/>
      <c r="AE494" s="36"/>
      <c r="AF494" s="42"/>
      <c r="AG494" s="36"/>
    </row>
    <row r="495" spans="2:33" s="44" customFormat="1" x14ac:dyDescent="0.3">
      <c r="B495" s="23"/>
      <c r="C495" s="40"/>
      <c r="D495" s="40"/>
      <c r="E495" s="41"/>
      <c r="F495" s="41"/>
      <c r="G495" s="41"/>
      <c r="H495" s="42"/>
      <c r="I495" s="42"/>
      <c r="J495" s="42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2"/>
      <c r="X495" s="42"/>
      <c r="Y495" s="42"/>
      <c r="Z495" s="42"/>
      <c r="AA495" s="42"/>
      <c r="AB495" s="42"/>
      <c r="AC495" s="36"/>
      <c r="AD495" s="36"/>
      <c r="AE495" s="36"/>
      <c r="AF495" s="42"/>
      <c r="AG495" s="36"/>
    </row>
    <row r="496" spans="2:33" s="44" customFormat="1" x14ac:dyDescent="0.3">
      <c r="B496" s="23"/>
      <c r="C496" s="40"/>
      <c r="D496" s="40"/>
      <c r="E496" s="41"/>
      <c r="F496" s="41"/>
      <c r="G496" s="41"/>
      <c r="H496" s="42"/>
      <c r="I496" s="42"/>
      <c r="J496" s="42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2"/>
      <c r="X496" s="42"/>
      <c r="Y496" s="42"/>
      <c r="Z496" s="42"/>
      <c r="AA496" s="42"/>
      <c r="AB496" s="42"/>
      <c r="AC496" s="36"/>
      <c r="AD496" s="36"/>
      <c r="AE496" s="36"/>
      <c r="AF496" s="42"/>
      <c r="AG496" s="36"/>
    </row>
    <row r="497" spans="2:33" s="44" customFormat="1" x14ac:dyDescent="0.3">
      <c r="B497" s="23"/>
      <c r="C497" s="40"/>
      <c r="D497" s="40"/>
      <c r="E497" s="41"/>
      <c r="F497" s="41"/>
      <c r="G497" s="41"/>
      <c r="H497" s="42"/>
      <c r="I497" s="42"/>
      <c r="J497" s="42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2"/>
      <c r="X497" s="42"/>
      <c r="Y497" s="42"/>
      <c r="Z497" s="42"/>
      <c r="AA497" s="42"/>
      <c r="AB497" s="42"/>
      <c r="AC497" s="36"/>
      <c r="AD497" s="36"/>
      <c r="AE497" s="36"/>
      <c r="AF497" s="42"/>
      <c r="AG497" s="36"/>
    </row>
    <row r="498" spans="2:33" s="44" customFormat="1" x14ac:dyDescent="0.3">
      <c r="B498" s="23"/>
      <c r="C498" s="40"/>
      <c r="D498" s="40"/>
      <c r="E498" s="41"/>
      <c r="F498" s="41"/>
      <c r="G498" s="41"/>
      <c r="H498" s="42"/>
      <c r="I498" s="42"/>
      <c r="J498" s="42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2"/>
      <c r="X498" s="42"/>
      <c r="Y498" s="42"/>
      <c r="Z498" s="42"/>
      <c r="AA498" s="42"/>
      <c r="AB498" s="42"/>
      <c r="AC498" s="36"/>
      <c r="AD498" s="36"/>
      <c r="AE498" s="36"/>
      <c r="AF498" s="42"/>
      <c r="AG498" s="36"/>
    </row>
    <row r="499" spans="2:33" s="44" customFormat="1" x14ac:dyDescent="0.3">
      <c r="B499" s="23"/>
      <c r="C499" s="40"/>
      <c r="D499" s="40"/>
      <c r="E499" s="41"/>
      <c r="F499" s="41"/>
      <c r="G499" s="41"/>
      <c r="H499" s="42"/>
      <c r="I499" s="42"/>
      <c r="J499" s="42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2"/>
      <c r="X499" s="42"/>
      <c r="Y499" s="42"/>
      <c r="Z499" s="42"/>
      <c r="AA499" s="42"/>
      <c r="AB499" s="42"/>
      <c r="AC499" s="36"/>
      <c r="AD499" s="36"/>
      <c r="AE499" s="36"/>
      <c r="AF499" s="42"/>
      <c r="AG499" s="36"/>
    </row>
    <row r="500" spans="2:33" s="44" customFormat="1" x14ac:dyDescent="0.3">
      <c r="B500" s="23"/>
      <c r="C500" s="40"/>
      <c r="D500" s="40"/>
      <c r="E500" s="41"/>
      <c r="F500" s="41"/>
      <c r="G500" s="41"/>
      <c r="H500" s="42"/>
      <c r="I500" s="42"/>
      <c r="J500" s="42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2"/>
      <c r="X500" s="42"/>
      <c r="Y500" s="42"/>
      <c r="Z500" s="42"/>
      <c r="AA500" s="42"/>
      <c r="AB500" s="42"/>
      <c r="AC500" s="36"/>
      <c r="AD500" s="36"/>
      <c r="AE500" s="36"/>
      <c r="AF500" s="42"/>
      <c r="AG500" s="36"/>
    </row>
    <row r="501" spans="2:33" s="44" customFormat="1" x14ac:dyDescent="0.3">
      <c r="B501" s="23"/>
      <c r="C501" s="40"/>
      <c r="D501" s="40"/>
      <c r="E501" s="41"/>
      <c r="F501" s="41"/>
      <c r="G501" s="41"/>
      <c r="H501" s="42"/>
      <c r="I501" s="42"/>
      <c r="J501" s="42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2"/>
      <c r="X501" s="42"/>
      <c r="Y501" s="42"/>
      <c r="Z501" s="42"/>
      <c r="AA501" s="42"/>
      <c r="AB501" s="42"/>
      <c r="AC501" s="36"/>
      <c r="AD501" s="36"/>
      <c r="AE501" s="36"/>
      <c r="AF501" s="42"/>
      <c r="AG501" s="36"/>
    </row>
    <row r="502" spans="2:33" s="44" customFormat="1" x14ac:dyDescent="0.3">
      <c r="B502" s="23"/>
      <c r="C502" s="40"/>
      <c r="D502" s="40"/>
      <c r="E502" s="41"/>
      <c r="F502" s="41"/>
      <c r="G502" s="41"/>
      <c r="H502" s="42"/>
      <c r="I502" s="42"/>
      <c r="J502" s="42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2"/>
      <c r="X502" s="42"/>
      <c r="Y502" s="42"/>
      <c r="Z502" s="42"/>
      <c r="AA502" s="42"/>
      <c r="AB502" s="42"/>
      <c r="AC502" s="36"/>
      <c r="AD502" s="36"/>
      <c r="AE502" s="36"/>
      <c r="AF502" s="42"/>
      <c r="AG502" s="36"/>
    </row>
    <row r="503" spans="2:33" s="44" customFormat="1" x14ac:dyDescent="0.3">
      <c r="B503" s="23"/>
      <c r="C503" s="40"/>
      <c r="D503" s="40"/>
      <c r="E503" s="41"/>
      <c r="F503" s="41"/>
      <c r="G503" s="41"/>
      <c r="H503" s="42"/>
      <c r="I503" s="42"/>
      <c r="J503" s="42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2"/>
      <c r="X503" s="42"/>
      <c r="Y503" s="42"/>
      <c r="Z503" s="42"/>
      <c r="AA503" s="42"/>
      <c r="AB503" s="42"/>
      <c r="AC503" s="36"/>
      <c r="AD503" s="36"/>
      <c r="AE503" s="36"/>
      <c r="AF503" s="42"/>
      <c r="AG503" s="36"/>
    </row>
    <row r="504" spans="2:33" s="44" customFormat="1" x14ac:dyDescent="0.3">
      <c r="B504" s="23"/>
      <c r="C504" s="40"/>
      <c r="D504" s="40"/>
      <c r="E504" s="41"/>
      <c r="F504" s="41"/>
      <c r="G504" s="41"/>
      <c r="H504" s="42"/>
      <c r="I504" s="42"/>
      <c r="J504" s="42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2"/>
      <c r="X504" s="42"/>
      <c r="Y504" s="42"/>
      <c r="Z504" s="42"/>
      <c r="AA504" s="42"/>
      <c r="AB504" s="42"/>
      <c r="AC504" s="36"/>
      <c r="AD504" s="36"/>
      <c r="AE504" s="36"/>
      <c r="AF504" s="42"/>
      <c r="AG504" s="36"/>
    </row>
    <row r="505" spans="2:33" s="44" customFormat="1" x14ac:dyDescent="0.3">
      <c r="B505" s="23"/>
      <c r="C505" s="40"/>
      <c r="D505" s="40"/>
      <c r="E505" s="41"/>
      <c r="F505" s="41"/>
      <c r="G505" s="41"/>
      <c r="H505" s="42"/>
      <c r="I505" s="42"/>
      <c r="J505" s="42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2"/>
      <c r="X505" s="42"/>
      <c r="Y505" s="42"/>
      <c r="Z505" s="42"/>
      <c r="AA505" s="42"/>
      <c r="AB505" s="42"/>
      <c r="AC505" s="36"/>
      <c r="AD505" s="36"/>
      <c r="AE505" s="36"/>
      <c r="AF505" s="42"/>
      <c r="AG505" s="36"/>
    </row>
    <row r="506" spans="2:33" s="44" customFormat="1" x14ac:dyDescent="0.3">
      <c r="B506" s="23"/>
      <c r="C506" s="40"/>
      <c r="D506" s="40"/>
      <c r="E506" s="41"/>
      <c r="F506" s="41"/>
      <c r="G506" s="41"/>
      <c r="H506" s="42"/>
      <c r="I506" s="42"/>
      <c r="J506" s="42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2"/>
      <c r="X506" s="42"/>
      <c r="Y506" s="42"/>
      <c r="Z506" s="42"/>
      <c r="AA506" s="42"/>
      <c r="AB506" s="42"/>
      <c r="AC506" s="36"/>
      <c r="AD506" s="36"/>
      <c r="AE506" s="36"/>
      <c r="AF506" s="42"/>
      <c r="AG506" s="36"/>
    </row>
    <row r="507" spans="2:33" s="44" customFormat="1" x14ac:dyDescent="0.3">
      <c r="B507" s="23"/>
      <c r="C507" s="40"/>
      <c r="D507" s="40"/>
      <c r="E507" s="41"/>
      <c r="F507" s="41"/>
      <c r="G507" s="41"/>
      <c r="H507" s="42"/>
      <c r="I507" s="42"/>
      <c r="J507" s="42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2"/>
      <c r="X507" s="42"/>
      <c r="Y507" s="42"/>
      <c r="Z507" s="42"/>
      <c r="AA507" s="42"/>
      <c r="AB507" s="42"/>
      <c r="AC507" s="36"/>
      <c r="AD507" s="36"/>
      <c r="AE507" s="36"/>
      <c r="AF507" s="42"/>
      <c r="AG507" s="36"/>
    </row>
    <row r="508" spans="2:33" s="44" customFormat="1" x14ac:dyDescent="0.3">
      <c r="B508" s="23"/>
      <c r="C508" s="40"/>
      <c r="D508" s="40"/>
      <c r="E508" s="41"/>
      <c r="F508" s="41"/>
      <c r="G508" s="41"/>
      <c r="H508" s="42"/>
      <c r="I508" s="42"/>
      <c r="J508" s="42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2"/>
      <c r="X508" s="42"/>
      <c r="Y508" s="42"/>
      <c r="Z508" s="42"/>
      <c r="AA508" s="42"/>
      <c r="AB508" s="42"/>
      <c r="AC508" s="36"/>
      <c r="AD508" s="36"/>
      <c r="AE508" s="36"/>
      <c r="AF508" s="42"/>
      <c r="AG508" s="36"/>
    </row>
    <row r="509" spans="2:33" s="44" customFormat="1" x14ac:dyDescent="0.3">
      <c r="B509" s="23"/>
      <c r="C509" s="40"/>
      <c r="D509" s="40"/>
      <c r="E509" s="41"/>
      <c r="F509" s="41"/>
      <c r="G509" s="41"/>
      <c r="H509" s="42"/>
      <c r="I509" s="42"/>
      <c r="J509" s="42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2"/>
      <c r="X509" s="42"/>
      <c r="Y509" s="42"/>
      <c r="Z509" s="42"/>
      <c r="AA509" s="42"/>
      <c r="AB509" s="42"/>
      <c r="AC509" s="36"/>
      <c r="AD509" s="36"/>
      <c r="AE509" s="36"/>
      <c r="AF509" s="42"/>
      <c r="AG509" s="36"/>
    </row>
    <row r="510" spans="2:33" s="44" customFormat="1" x14ac:dyDescent="0.3">
      <c r="B510" s="23"/>
      <c r="C510" s="40"/>
      <c r="D510" s="40"/>
      <c r="E510" s="41"/>
      <c r="F510" s="41"/>
      <c r="G510" s="41"/>
      <c r="H510" s="42"/>
      <c r="I510" s="42"/>
      <c r="J510" s="42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2"/>
      <c r="X510" s="42"/>
      <c r="Y510" s="42"/>
      <c r="Z510" s="42"/>
      <c r="AA510" s="42"/>
      <c r="AB510" s="42"/>
      <c r="AC510" s="36"/>
      <c r="AD510" s="36"/>
      <c r="AE510" s="36"/>
      <c r="AF510" s="42"/>
      <c r="AG510" s="36"/>
    </row>
    <row r="511" spans="2:33" s="44" customFormat="1" x14ac:dyDescent="0.3">
      <c r="B511" s="23"/>
      <c r="C511" s="40"/>
      <c r="D511" s="40"/>
      <c r="E511" s="41"/>
      <c r="F511" s="41"/>
      <c r="G511" s="41"/>
      <c r="H511" s="42"/>
      <c r="I511" s="42"/>
      <c r="J511" s="42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2"/>
      <c r="X511" s="42"/>
      <c r="Y511" s="42"/>
      <c r="Z511" s="42"/>
      <c r="AA511" s="42"/>
      <c r="AB511" s="42"/>
      <c r="AC511" s="36"/>
      <c r="AD511" s="36"/>
      <c r="AE511" s="36"/>
      <c r="AF511" s="42"/>
      <c r="AG511" s="36"/>
    </row>
    <row r="512" spans="2:33" s="44" customFormat="1" x14ac:dyDescent="0.3">
      <c r="B512" s="23"/>
      <c r="C512" s="40"/>
      <c r="D512" s="40"/>
      <c r="E512" s="41"/>
      <c r="F512" s="41"/>
      <c r="G512" s="41"/>
      <c r="H512" s="42"/>
      <c r="I512" s="42"/>
      <c r="J512" s="42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2"/>
      <c r="X512" s="42"/>
      <c r="Y512" s="42"/>
      <c r="Z512" s="42"/>
      <c r="AA512" s="42"/>
      <c r="AB512" s="42"/>
      <c r="AC512" s="36"/>
      <c r="AD512" s="36"/>
      <c r="AE512" s="36"/>
      <c r="AF512" s="42"/>
      <c r="AG512" s="36"/>
    </row>
    <row r="513" spans="2:33" s="44" customFormat="1" x14ac:dyDescent="0.3">
      <c r="B513" s="23"/>
      <c r="C513" s="40"/>
      <c r="D513" s="40"/>
      <c r="E513" s="41"/>
      <c r="F513" s="41"/>
      <c r="G513" s="41"/>
      <c r="H513" s="42"/>
      <c r="I513" s="42"/>
      <c r="J513" s="42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2"/>
      <c r="X513" s="42"/>
      <c r="Y513" s="42"/>
      <c r="Z513" s="42"/>
      <c r="AA513" s="42"/>
      <c r="AB513" s="42"/>
      <c r="AC513" s="36"/>
      <c r="AD513" s="36"/>
      <c r="AE513" s="36"/>
      <c r="AF513" s="42"/>
      <c r="AG513" s="36"/>
    </row>
    <row r="514" spans="2:33" s="44" customFormat="1" x14ac:dyDescent="0.3">
      <c r="B514" s="23"/>
      <c r="C514" s="40"/>
      <c r="D514" s="40"/>
      <c r="E514" s="41"/>
      <c r="F514" s="41"/>
      <c r="G514" s="41"/>
      <c r="H514" s="42"/>
      <c r="I514" s="42"/>
      <c r="J514" s="42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2"/>
      <c r="X514" s="42"/>
      <c r="Y514" s="42"/>
      <c r="Z514" s="42"/>
      <c r="AA514" s="42"/>
      <c r="AB514" s="42"/>
      <c r="AC514" s="36"/>
      <c r="AD514" s="36"/>
      <c r="AE514" s="36"/>
      <c r="AF514" s="42"/>
      <c r="AG514" s="36"/>
    </row>
    <row r="515" spans="2:33" s="44" customFormat="1" x14ac:dyDescent="0.3">
      <c r="B515" s="23"/>
      <c r="C515" s="40"/>
      <c r="D515" s="40"/>
      <c r="E515" s="41"/>
      <c r="F515" s="41"/>
      <c r="G515" s="41"/>
      <c r="H515" s="42"/>
      <c r="I515" s="42"/>
      <c r="J515" s="42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2"/>
      <c r="X515" s="42"/>
      <c r="Y515" s="42"/>
      <c r="Z515" s="42"/>
      <c r="AA515" s="42"/>
      <c r="AB515" s="42"/>
      <c r="AC515" s="36"/>
      <c r="AD515" s="36"/>
      <c r="AE515" s="36"/>
      <c r="AF515" s="42"/>
      <c r="AG515" s="36"/>
    </row>
    <row r="516" spans="2:33" s="44" customFormat="1" x14ac:dyDescent="0.3">
      <c r="B516" s="23"/>
      <c r="C516" s="40"/>
      <c r="D516" s="40"/>
      <c r="E516" s="41"/>
      <c r="F516" s="41"/>
      <c r="G516" s="41"/>
      <c r="H516" s="42"/>
      <c r="I516" s="42"/>
      <c r="J516" s="42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2"/>
      <c r="X516" s="42"/>
      <c r="Y516" s="42"/>
      <c r="Z516" s="42"/>
      <c r="AA516" s="42"/>
      <c r="AB516" s="42"/>
      <c r="AC516" s="36"/>
      <c r="AD516" s="36"/>
      <c r="AE516" s="36"/>
      <c r="AF516" s="42"/>
      <c r="AG516" s="36"/>
    </row>
    <row r="517" spans="2:33" s="44" customFormat="1" x14ac:dyDescent="0.3">
      <c r="B517" s="23"/>
      <c r="C517" s="40"/>
      <c r="D517" s="40"/>
      <c r="E517" s="41"/>
      <c r="F517" s="41"/>
      <c r="G517" s="41"/>
      <c r="H517" s="42"/>
      <c r="I517" s="42"/>
      <c r="J517" s="42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2"/>
      <c r="X517" s="42"/>
      <c r="Y517" s="42"/>
      <c r="Z517" s="42"/>
      <c r="AA517" s="42"/>
      <c r="AB517" s="42"/>
      <c r="AC517" s="36"/>
      <c r="AD517" s="36"/>
      <c r="AE517" s="36"/>
      <c r="AF517" s="42"/>
      <c r="AG517" s="36"/>
    </row>
    <row r="518" spans="2:33" s="44" customFormat="1" x14ac:dyDescent="0.3">
      <c r="B518" s="23"/>
      <c r="C518" s="40"/>
      <c r="D518" s="40"/>
      <c r="E518" s="41"/>
      <c r="F518" s="41"/>
      <c r="G518" s="41"/>
      <c r="H518" s="42"/>
      <c r="I518" s="42"/>
      <c r="J518" s="42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2"/>
      <c r="X518" s="42"/>
      <c r="Y518" s="42"/>
      <c r="Z518" s="42"/>
      <c r="AA518" s="42"/>
      <c r="AB518" s="42"/>
      <c r="AC518" s="36"/>
      <c r="AD518" s="36"/>
      <c r="AE518" s="36"/>
      <c r="AF518" s="42"/>
      <c r="AG518" s="36"/>
    </row>
    <row r="519" spans="2:33" s="44" customFormat="1" x14ac:dyDescent="0.3">
      <c r="B519" s="23"/>
      <c r="C519" s="40"/>
      <c r="D519" s="40"/>
      <c r="E519" s="41"/>
      <c r="F519" s="41"/>
      <c r="G519" s="41"/>
      <c r="H519" s="42"/>
      <c r="I519" s="42"/>
      <c r="J519" s="42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2"/>
      <c r="X519" s="42"/>
      <c r="Y519" s="42"/>
      <c r="Z519" s="42"/>
      <c r="AA519" s="42"/>
      <c r="AB519" s="42"/>
      <c r="AC519" s="36"/>
      <c r="AD519" s="36"/>
      <c r="AE519" s="36"/>
      <c r="AF519" s="42"/>
      <c r="AG519" s="36"/>
    </row>
    <row r="520" spans="2:33" s="44" customFormat="1" x14ac:dyDescent="0.3">
      <c r="B520" s="23"/>
      <c r="C520" s="40"/>
      <c r="D520" s="40"/>
      <c r="E520" s="41"/>
      <c r="F520" s="41"/>
      <c r="G520" s="41"/>
      <c r="H520" s="42"/>
      <c r="I520" s="42"/>
      <c r="J520" s="42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2"/>
      <c r="X520" s="42"/>
      <c r="Y520" s="42"/>
      <c r="Z520" s="42"/>
      <c r="AA520" s="42"/>
      <c r="AB520" s="42"/>
      <c r="AC520" s="36"/>
      <c r="AD520" s="36"/>
      <c r="AE520" s="36"/>
      <c r="AF520" s="42"/>
      <c r="AG520" s="36"/>
    </row>
    <row r="521" spans="2:33" s="44" customFormat="1" x14ac:dyDescent="0.3">
      <c r="B521" s="23"/>
      <c r="C521" s="40"/>
      <c r="D521" s="40"/>
      <c r="E521" s="41"/>
      <c r="F521" s="41"/>
      <c r="G521" s="41"/>
      <c r="H521" s="42"/>
      <c r="I521" s="42"/>
      <c r="J521" s="42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2"/>
      <c r="X521" s="42"/>
      <c r="Y521" s="42"/>
      <c r="Z521" s="42"/>
      <c r="AA521" s="42"/>
      <c r="AB521" s="42"/>
      <c r="AC521" s="36"/>
      <c r="AD521" s="36"/>
      <c r="AE521" s="36"/>
      <c r="AF521" s="42"/>
      <c r="AG521" s="36"/>
    </row>
    <row r="522" spans="2:33" s="44" customFormat="1" x14ac:dyDescent="0.3">
      <c r="B522" s="23"/>
      <c r="C522" s="40"/>
      <c r="D522" s="40"/>
      <c r="E522" s="41"/>
      <c r="F522" s="41"/>
      <c r="G522" s="41"/>
      <c r="H522" s="42"/>
      <c r="I522" s="42"/>
      <c r="J522" s="42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2"/>
      <c r="X522" s="42"/>
      <c r="Y522" s="42"/>
      <c r="Z522" s="42"/>
      <c r="AA522" s="42"/>
      <c r="AB522" s="42"/>
      <c r="AC522" s="36"/>
      <c r="AD522" s="36"/>
      <c r="AE522" s="36"/>
      <c r="AF522" s="42"/>
      <c r="AG522" s="36"/>
    </row>
    <row r="523" spans="2:33" s="44" customFormat="1" x14ac:dyDescent="0.3">
      <c r="B523" s="23"/>
      <c r="C523" s="40"/>
      <c r="D523" s="40"/>
      <c r="E523" s="41"/>
      <c r="F523" s="41"/>
      <c r="G523" s="41"/>
      <c r="H523" s="42"/>
      <c r="I523" s="42"/>
      <c r="J523" s="42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2"/>
      <c r="X523" s="42"/>
      <c r="Y523" s="42"/>
      <c r="Z523" s="42"/>
      <c r="AA523" s="42"/>
      <c r="AB523" s="42"/>
      <c r="AC523" s="36"/>
      <c r="AD523" s="36"/>
      <c r="AE523" s="36"/>
      <c r="AF523" s="42"/>
      <c r="AG523" s="36"/>
    </row>
    <row r="524" spans="2:33" s="44" customFormat="1" x14ac:dyDescent="0.3">
      <c r="B524" s="23"/>
      <c r="C524" s="40"/>
      <c r="D524" s="40"/>
      <c r="E524" s="41"/>
      <c r="F524" s="41"/>
      <c r="G524" s="41"/>
      <c r="H524" s="42"/>
      <c r="I524" s="42"/>
      <c r="J524" s="42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2"/>
      <c r="X524" s="42"/>
      <c r="Y524" s="42"/>
      <c r="Z524" s="42"/>
      <c r="AA524" s="42"/>
      <c r="AB524" s="42"/>
      <c r="AC524" s="36"/>
      <c r="AD524" s="36"/>
      <c r="AE524" s="36"/>
      <c r="AF524" s="42"/>
      <c r="AG524" s="36"/>
    </row>
    <row r="525" spans="2:33" s="44" customFormat="1" x14ac:dyDescent="0.3">
      <c r="B525" s="23"/>
      <c r="C525" s="40"/>
      <c r="D525" s="40"/>
      <c r="E525" s="41"/>
      <c r="F525" s="41"/>
      <c r="G525" s="41"/>
      <c r="H525" s="42"/>
      <c r="I525" s="42"/>
      <c r="J525" s="42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2"/>
      <c r="X525" s="42"/>
      <c r="Y525" s="42"/>
      <c r="Z525" s="42"/>
      <c r="AA525" s="42"/>
      <c r="AB525" s="42"/>
      <c r="AC525" s="36"/>
      <c r="AD525" s="36"/>
      <c r="AE525" s="36"/>
      <c r="AF525" s="42"/>
      <c r="AG525" s="36"/>
    </row>
    <row r="526" spans="2:33" s="44" customFormat="1" x14ac:dyDescent="0.3">
      <c r="B526" s="23"/>
      <c r="C526" s="40"/>
      <c r="D526" s="40"/>
      <c r="E526" s="41"/>
      <c r="F526" s="41"/>
      <c r="G526" s="41"/>
      <c r="H526" s="42"/>
      <c r="I526" s="42"/>
      <c r="J526" s="42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2"/>
      <c r="X526" s="42"/>
      <c r="Y526" s="42"/>
      <c r="Z526" s="42"/>
      <c r="AA526" s="42"/>
      <c r="AB526" s="42"/>
      <c r="AC526" s="36"/>
      <c r="AD526" s="36"/>
      <c r="AE526" s="36"/>
      <c r="AF526" s="42"/>
      <c r="AG526" s="36"/>
    </row>
    <row r="527" spans="2:33" s="44" customFormat="1" x14ac:dyDescent="0.3">
      <c r="B527" s="23"/>
      <c r="C527" s="40"/>
      <c r="D527" s="40"/>
      <c r="E527" s="41"/>
      <c r="F527" s="41"/>
      <c r="G527" s="41"/>
      <c r="H527" s="42"/>
      <c r="I527" s="42"/>
      <c r="J527" s="42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2"/>
      <c r="X527" s="42"/>
      <c r="Y527" s="42"/>
      <c r="Z527" s="42"/>
      <c r="AA527" s="42"/>
      <c r="AB527" s="42"/>
      <c r="AC527" s="36"/>
      <c r="AD527" s="36"/>
      <c r="AE527" s="36"/>
      <c r="AF527" s="42"/>
      <c r="AG527" s="36"/>
    </row>
    <row r="528" spans="2:33" s="44" customFormat="1" x14ac:dyDescent="0.3">
      <c r="B528" s="23"/>
      <c r="C528" s="40"/>
      <c r="D528" s="40"/>
      <c r="E528" s="41"/>
      <c r="F528" s="41"/>
      <c r="G528" s="41"/>
      <c r="H528" s="42"/>
      <c r="I528" s="42"/>
      <c r="J528" s="42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2"/>
      <c r="X528" s="42"/>
      <c r="Y528" s="42"/>
      <c r="Z528" s="42"/>
      <c r="AA528" s="42"/>
      <c r="AB528" s="42"/>
      <c r="AC528" s="36"/>
      <c r="AD528" s="36"/>
      <c r="AE528" s="36"/>
      <c r="AF528" s="42"/>
      <c r="AG528" s="36"/>
    </row>
    <row r="529" spans="2:33" s="44" customFormat="1" x14ac:dyDescent="0.3">
      <c r="B529" s="23"/>
      <c r="C529" s="40"/>
      <c r="D529" s="40"/>
      <c r="E529" s="41"/>
      <c r="F529" s="41"/>
      <c r="G529" s="41"/>
      <c r="H529" s="42"/>
      <c r="I529" s="42"/>
      <c r="J529" s="42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2"/>
      <c r="X529" s="42"/>
      <c r="Y529" s="42"/>
      <c r="Z529" s="42"/>
      <c r="AA529" s="42"/>
      <c r="AB529" s="42"/>
      <c r="AC529" s="36"/>
      <c r="AD529" s="36"/>
      <c r="AE529" s="36"/>
      <c r="AF529" s="42"/>
      <c r="AG529" s="36"/>
    </row>
    <row r="530" spans="2:33" s="44" customFormat="1" x14ac:dyDescent="0.3">
      <c r="B530" s="23"/>
      <c r="C530" s="40"/>
      <c r="D530" s="40"/>
      <c r="E530" s="41"/>
      <c r="F530" s="41"/>
      <c r="G530" s="41"/>
      <c r="H530" s="42"/>
      <c r="I530" s="42"/>
      <c r="J530" s="42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2"/>
      <c r="X530" s="42"/>
      <c r="Y530" s="42"/>
      <c r="Z530" s="42"/>
      <c r="AA530" s="42"/>
      <c r="AB530" s="42"/>
      <c r="AC530" s="36"/>
      <c r="AD530" s="36"/>
      <c r="AE530" s="36"/>
      <c r="AF530" s="42"/>
      <c r="AG530" s="36"/>
    </row>
    <row r="531" spans="2:33" s="44" customFormat="1" x14ac:dyDescent="0.3">
      <c r="B531" s="23"/>
      <c r="C531" s="40"/>
      <c r="D531" s="40"/>
      <c r="E531" s="41"/>
      <c r="F531" s="41"/>
      <c r="G531" s="41"/>
      <c r="H531" s="42"/>
      <c r="I531" s="42"/>
      <c r="J531" s="42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2"/>
      <c r="X531" s="42"/>
      <c r="Y531" s="42"/>
      <c r="Z531" s="42"/>
      <c r="AA531" s="42"/>
      <c r="AB531" s="42"/>
      <c r="AC531" s="36"/>
      <c r="AD531" s="36"/>
      <c r="AE531" s="36"/>
      <c r="AF531" s="42"/>
      <c r="AG531" s="36"/>
    </row>
    <row r="532" spans="2:33" s="44" customFormat="1" x14ac:dyDescent="0.3">
      <c r="B532" s="23"/>
      <c r="C532" s="40"/>
      <c r="D532" s="40"/>
      <c r="E532" s="41"/>
      <c r="F532" s="41"/>
      <c r="G532" s="41"/>
      <c r="H532" s="42"/>
      <c r="I532" s="42"/>
      <c r="J532" s="42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2"/>
      <c r="X532" s="42"/>
      <c r="Y532" s="42"/>
      <c r="Z532" s="42"/>
      <c r="AA532" s="42"/>
      <c r="AB532" s="42"/>
      <c r="AC532" s="36"/>
      <c r="AD532" s="36"/>
      <c r="AE532" s="36"/>
      <c r="AF532" s="42"/>
      <c r="AG532" s="36"/>
    </row>
    <row r="533" spans="2:33" s="44" customFormat="1" x14ac:dyDescent="0.3">
      <c r="B533" s="23"/>
      <c r="C533" s="40"/>
      <c r="D533" s="40"/>
      <c r="E533" s="41"/>
      <c r="F533" s="41"/>
      <c r="G533" s="41"/>
      <c r="H533" s="42"/>
      <c r="I533" s="42"/>
      <c r="J533" s="42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2"/>
      <c r="X533" s="42"/>
      <c r="Y533" s="42"/>
      <c r="Z533" s="42"/>
      <c r="AA533" s="42"/>
      <c r="AB533" s="42"/>
      <c r="AC533" s="36"/>
      <c r="AD533" s="36"/>
      <c r="AE533" s="36"/>
      <c r="AF533" s="42"/>
      <c r="AG533" s="36"/>
    </row>
    <row r="534" spans="2:33" s="44" customFormat="1" x14ac:dyDescent="0.3">
      <c r="B534" s="23"/>
      <c r="C534" s="40"/>
      <c r="D534" s="40"/>
      <c r="E534" s="41"/>
      <c r="F534" s="41"/>
      <c r="G534" s="41"/>
      <c r="H534" s="42"/>
      <c r="I534" s="42"/>
      <c r="J534" s="42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2"/>
      <c r="X534" s="42"/>
      <c r="Y534" s="42"/>
      <c r="Z534" s="42"/>
      <c r="AA534" s="42"/>
      <c r="AB534" s="42"/>
      <c r="AC534" s="36"/>
      <c r="AD534" s="36"/>
      <c r="AE534" s="36"/>
      <c r="AF534" s="42"/>
      <c r="AG534" s="36"/>
    </row>
    <row r="535" spans="2:33" s="44" customFormat="1" x14ac:dyDescent="0.3">
      <c r="B535" s="23"/>
      <c r="C535" s="40"/>
      <c r="D535" s="40"/>
      <c r="E535" s="41"/>
      <c r="F535" s="41"/>
      <c r="G535" s="41"/>
      <c r="H535" s="42"/>
      <c r="I535" s="42"/>
      <c r="J535" s="42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2"/>
      <c r="X535" s="42"/>
      <c r="Y535" s="42"/>
      <c r="Z535" s="42"/>
      <c r="AA535" s="42"/>
      <c r="AB535" s="42"/>
      <c r="AC535" s="36"/>
      <c r="AD535" s="36"/>
      <c r="AE535" s="36"/>
      <c r="AF535" s="42"/>
      <c r="AG535" s="36"/>
    </row>
    <row r="536" spans="2:33" s="44" customFormat="1" x14ac:dyDescent="0.3">
      <c r="B536" s="23"/>
      <c r="C536" s="40"/>
      <c r="D536" s="40"/>
      <c r="E536" s="41"/>
      <c r="F536" s="41"/>
      <c r="G536" s="41"/>
      <c r="H536" s="42"/>
      <c r="I536" s="42"/>
      <c r="J536" s="42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2"/>
      <c r="X536" s="42"/>
      <c r="Y536" s="42"/>
      <c r="Z536" s="42"/>
      <c r="AA536" s="42"/>
      <c r="AB536" s="42"/>
      <c r="AC536" s="36"/>
      <c r="AD536" s="36"/>
      <c r="AE536" s="36"/>
      <c r="AF536" s="42"/>
      <c r="AG536" s="36"/>
    </row>
    <row r="537" spans="2:33" s="44" customFormat="1" x14ac:dyDescent="0.3">
      <c r="B537" s="23"/>
      <c r="C537" s="40"/>
      <c r="D537" s="40"/>
      <c r="E537" s="41"/>
      <c r="F537" s="41"/>
      <c r="G537" s="41"/>
      <c r="H537" s="42"/>
      <c r="I537" s="42"/>
      <c r="J537" s="42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2"/>
      <c r="X537" s="42"/>
      <c r="Y537" s="42"/>
      <c r="Z537" s="42"/>
      <c r="AA537" s="42"/>
      <c r="AB537" s="42"/>
      <c r="AC537" s="36"/>
      <c r="AD537" s="36"/>
      <c r="AE537" s="36"/>
      <c r="AF537" s="42"/>
      <c r="AG537" s="36"/>
    </row>
    <row r="538" spans="2:33" s="44" customFormat="1" x14ac:dyDescent="0.3">
      <c r="B538" s="23"/>
      <c r="C538" s="40"/>
      <c r="D538" s="40"/>
      <c r="E538" s="41"/>
      <c r="F538" s="41"/>
      <c r="G538" s="41"/>
      <c r="H538" s="42"/>
      <c r="I538" s="42"/>
      <c r="J538" s="42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2"/>
      <c r="X538" s="42"/>
      <c r="Y538" s="42"/>
      <c r="Z538" s="42"/>
      <c r="AA538" s="42"/>
      <c r="AB538" s="42"/>
      <c r="AC538" s="36"/>
      <c r="AD538" s="36"/>
      <c r="AE538" s="36"/>
      <c r="AF538" s="42"/>
      <c r="AG538" s="36"/>
    </row>
    <row r="539" spans="2:33" s="44" customFormat="1" x14ac:dyDescent="0.3">
      <c r="B539" s="23"/>
      <c r="C539" s="40"/>
      <c r="D539" s="40"/>
      <c r="E539" s="41"/>
      <c r="F539" s="41"/>
      <c r="G539" s="41"/>
      <c r="H539" s="42"/>
      <c r="I539" s="42"/>
      <c r="J539" s="42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2"/>
      <c r="X539" s="42"/>
      <c r="Y539" s="42"/>
      <c r="Z539" s="42"/>
      <c r="AA539" s="42"/>
      <c r="AB539" s="42"/>
      <c r="AC539" s="36"/>
      <c r="AD539" s="36"/>
      <c r="AE539" s="36"/>
      <c r="AF539" s="42"/>
      <c r="AG539" s="36"/>
    </row>
    <row r="540" spans="2:33" s="44" customFormat="1" x14ac:dyDescent="0.3">
      <c r="B540" s="23"/>
      <c r="C540" s="40"/>
      <c r="D540" s="40"/>
      <c r="E540" s="41"/>
      <c r="F540" s="41"/>
      <c r="G540" s="41"/>
      <c r="H540" s="42"/>
      <c r="I540" s="42"/>
      <c r="J540" s="42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2"/>
      <c r="X540" s="42"/>
      <c r="Y540" s="42"/>
      <c r="Z540" s="42"/>
      <c r="AA540" s="42"/>
      <c r="AB540" s="42"/>
      <c r="AC540" s="36"/>
      <c r="AD540" s="36"/>
      <c r="AE540" s="36"/>
      <c r="AF540" s="42"/>
      <c r="AG540" s="36"/>
    </row>
    <row r="541" spans="2:33" s="44" customFormat="1" x14ac:dyDescent="0.3">
      <c r="B541" s="23"/>
      <c r="C541" s="40"/>
      <c r="D541" s="40"/>
      <c r="E541" s="41"/>
      <c r="F541" s="41"/>
      <c r="G541" s="41"/>
      <c r="H541" s="42"/>
      <c r="I541" s="42"/>
      <c r="J541" s="42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2"/>
      <c r="X541" s="42"/>
      <c r="Y541" s="42"/>
      <c r="Z541" s="42"/>
      <c r="AA541" s="42"/>
      <c r="AB541" s="42"/>
      <c r="AC541" s="36"/>
      <c r="AD541" s="36"/>
      <c r="AE541" s="36"/>
      <c r="AF541" s="42"/>
      <c r="AG541" s="36"/>
    </row>
    <row r="542" spans="2:33" s="44" customFormat="1" x14ac:dyDescent="0.3">
      <c r="B542" s="23"/>
      <c r="C542" s="40"/>
      <c r="D542" s="40"/>
      <c r="E542" s="41"/>
      <c r="F542" s="41"/>
      <c r="G542" s="41"/>
      <c r="H542" s="42"/>
      <c r="I542" s="42"/>
      <c r="J542" s="42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2"/>
      <c r="X542" s="42"/>
      <c r="Y542" s="42"/>
      <c r="Z542" s="42"/>
      <c r="AA542" s="42"/>
      <c r="AB542" s="42"/>
      <c r="AC542" s="36"/>
      <c r="AD542" s="36"/>
      <c r="AE542" s="36"/>
      <c r="AF542" s="42"/>
      <c r="AG542" s="36"/>
    </row>
    <row r="543" spans="2:33" s="44" customFormat="1" x14ac:dyDescent="0.3">
      <c r="B543" s="23"/>
      <c r="C543" s="40"/>
      <c r="D543" s="40"/>
      <c r="E543" s="41"/>
      <c r="F543" s="41"/>
      <c r="G543" s="41"/>
      <c r="H543" s="42"/>
      <c r="I543" s="42"/>
      <c r="J543" s="42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2"/>
      <c r="X543" s="42"/>
      <c r="Y543" s="42"/>
      <c r="Z543" s="42"/>
      <c r="AA543" s="42"/>
      <c r="AB543" s="42"/>
      <c r="AC543" s="36"/>
      <c r="AD543" s="36"/>
      <c r="AE543" s="36"/>
      <c r="AF543" s="42"/>
      <c r="AG543" s="36"/>
    </row>
    <row r="544" spans="2:33" s="44" customFormat="1" x14ac:dyDescent="0.3">
      <c r="B544" s="23"/>
      <c r="C544" s="40"/>
      <c r="D544" s="40"/>
      <c r="E544" s="41"/>
      <c r="F544" s="41"/>
      <c r="G544" s="41"/>
      <c r="H544" s="42"/>
      <c r="I544" s="42"/>
      <c r="J544" s="42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2"/>
      <c r="X544" s="42"/>
      <c r="Y544" s="42"/>
      <c r="Z544" s="42"/>
      <c r="AA544" s="42"/>
      <c r="AB544" s="42"/>
      <c r="AC544" s="36"/>
      <c r="AD544" s="36"/>
      <c r="AE544" s="36"/>
      <c r="AF544" s="42"/>
      <c r="AG544" s="36"/>
    </row>
    <row r="545" spans="2:33" s="44" customFormat="1" x14ac:dyDescent="0.3">
      <c r="B545" s="23"/>
      <c r="C545" s="40"/>
      <c r="D545" s="40"/>
      <c r="E545" s="41"/>
      <c r="F545" s="41"/>
      <c r="G545" s="41"/>
      <c r="H545" s="42"/>
      <c r="I545" s="42"/>
      <c r="J545" s="42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2"/>
      <c r="X545" s="42"/>
      <c r="Y545" s="42"/>
      <c r="Z545" s="42"/>
      <c r="AA545" s="42"/>
      <c r="AB545" s="42"/>
      <c r="AC545" s="36"/>
      <c r="AD545" s="36"/>
      <c r="AE545" s="36"/>
      <c r="AF545" s="42"/>
      <c r="AG545" s="36"/>
    </row>
    <row r="546" spans="2:33" s="44" customFormat="1" x14ac:dyDescent="0.3">
      <c r="B546" s="23"/>
      <c r="C546" s="40"/>
      <c r="D546" s="40"/>
      <c r="E546" s="41"/>
      <c r="F546" s="41"/>
      <c r="G546" s="41"/>
      <c r="H546" s="42"/>
      <c r="I546" s="42"/>
      <c r="J546" s="42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2"/>
      <c r="X546" s="42"/>
      <c r="Y546" s="42"/>
      <c r="Z546" s="42"/>
      <c r="AA546" s="42"/>
      <c r="AB546" s="42"/>
      <c r="AC546" s="36"/>
      <c r="AD546" s="36"/>
      <c r="AE546" s="36"/>
      <c r="AF546" s="42"/>
      <c r="AG546" s="36"/>
    </row>
    <row r="547" spans="2:33" s="44" customFormat="1" x14ac:dyDescent="0.3">
      <c r="B547" s="23"/>
      <c r="C547" s="40"/>
      <c r="D547" s="40"/>
      <c r="E547" s="41"/>
      <c r="F547" s="41"/>
      <c r="G547" s="41"/>
      <c r="H547" s="42"/>
      <c r="I547" s="42"/>
      <c r="J547" s="42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2"/>
      <c r="X547" s="42"/>
      <c r="Y547" s="42"/>
      <c r="Z547" s="42"/>
      <c r="AA547" s="42"/>
      <c r="AB547" s="42"/>
      <c r="AC547" s="36"/>
      <c r="AD547" s="36"/>
      <c r="AE547" s="36"/>
      <c r="AF547" s="42"/>
      <c r="AG547" s="36"/>
    </row>
    <row r="548" spans="2:33" s="44" customFormat="1" x14ac:dyDescent="0.3">
      <c r="B548" s="23"/>
      <c r="C548" s="40"/>
      <c r="D548" s="40"/>
      <c r="E548" s="41"/>
      <c r="F548" s="41"/>
      <c r="G548" s="41"/>
      <c r="H548" s="42"/>
      <c r="I548" s="42"/>
      <c r="J548" s="42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2"/>
      <c r="X548" s="42"/>
      <c r="Y548" s="42"/>
      <c r="Z548" s="42"/>
      <c r="AA548" s="42"/>
      <c r="AB548" s="42"/>
      <c r="AC548" s="36"/>
      <c r="AD548" s="36"/>
      <c r="AE548" s="36"/>
      <c r="AF548" s="42"/>
      <c r="AG548" s="36"/>
    </row>
    <row r="549" spans="2:33" s="44" customFormat="1" x14ac:dyDescent="0.3">
      <c r="B549" s="23"/>
      <c r="C549" s="40"/>
      <c r="D549" s="40"/>
      <c r="E549" s="41"/>
      <c r="F549" s="41"/>
      <c r="G549" s="41"/>
      <c r="H549" s="42"/>
      <c r="I549" s="42"/>
      <c r="J549" s="42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2"/>
      <c r="X549" s="42"/>
      <c r="Y549" s="42"/>
      <c r="Z549" s="42"/>
      <c r="AA549" s="42"/>
      <c r="AB549" s="42"/>
      <c r="AC549" s="36"/>
      <c r="AD549" s="36"/>
      <c r="AE549" s="36"/>
      <c r="AF549" s="42"/>
      <c r="AG549" s="36"/>
    </row>
    <row r="550" spans="2:33" s="44" customFormat="1" x14ac:dyDescent="0.3">
      <c r="B550" s="23"/>
      <c r="C550" s="40"/>
      <c r="D550" s="40"/>
      <c r="E550" s="41"/>
      <c r="F550" s="41"/>
      <c r="G550" s="41"/>
      <c r="H550" s="42"/>
      <c r="I550" s="42"/>
      <c r="J550" s="42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2"/>
      <c r="X550" s="42"/>
      <c r="Y550" s="42"/>
      <c r="Z550" s="42"/>
      <c r="AA550" s="42"/>
      <c r="AB550" s="42"/>
      <c r="AC550" s="36"/>
      <c r="AD550" s="36"/>
      <c r="AE550" s="36"/>
      <c r="AF550" s="42"/>
      <c r="AG550" s="36"/>
    </row>
    <row r="551" spans="2:33" s="44" customFormat="1" x14ac:dyDescent="0.3">
      <c r="B551" s="23"/>
      <c r="C551" s="40"/>
      <c r="D551" s="40"/>
      <c r="E551" s="41"/>
      <c r="F551" s="41"/>
      <c r="G551" s="41"/>
      <c r="H551" s="42"/>
      <c r="I551" s="42"/>
      <c r="J551" s="42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2"/>
      <c r="X551" s="42"/>
      <c r="Y551" s="42"/>
      <c r="Z551" s="42"/>
      <c r="AA551" s="42"/>
      <c r="AB551" s="42"/>
      <c r="AC551" s="36"/>
      <c r="AD551" s="36"/>
      <c r="AE551" s="36"/>
      <c r="AF551" s="42"/>
      <c r="AG551" s="36"/>
    </row>
    <row r="552" spans="2:33" s="44" customFormat="1" x14ac:dyDescent="0.3">
      <c r="B552" s="23"/>
      <c r="C552" s="40"/>
      <c r="D552" s="40"/>
      <c r="E552" s="41"/>
      <c r="F552" s="41"/>
      <c r="G552" s="41"/>
      <c r="H552" s="42"/>
      <c r="I552" s="42"/>
      <c r="J552" s="42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2"/>
      <c r="X552" s="42"/>
      <c r="Y552" s="42"/>
      <c r="Z552" s="42"/>
      <c r="AA552" s="42"/>
      <c r="AB552" s="42"/>
      <c r="AC552" s="36"/>
      <c r="AD552" s="36"/>
      <c r="AE552" s="36"/>
      <c r="AF552" s="42"/>
      <c r="AG552" s="36"/>
    </row>
    <row r="553" spans="2:33" s="44" customFormat="1" x14ac:dyDescent="0.3">
      <c r="B553" s="23"/>
      <c r="C553" s="40"/>
      <c r="D553" s="40"/>
      <c r="E553" s="41"/>
      <c r="F553" s="41"/>
      <c r="G553" s="41"/>
      <c r="H553" s="42"/>
      <c r="I553" s="42"/>
      <c r="J553" s="42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2"/>
      <c r="X553" s="42"/>
      <c r="Y553" s="42"/>
      <c r="Z553" s="42"/>
      <c r="AA553" s="42"/>
      <c r="AB553" s="42"/>
      <c r="AC553" s="36"/>
      <c r="AD553" s="36"/>
      <c r="AE553" s="36"/>
      <c r="AF553" s="42"/>
      <c r="AG553" s="36"/>
    </row>
    <row r="554" spans="2:33" s="44" customFormat="1" x14ac:dyDescent="0.3">
      <c r="B554" s="23"/>
      <c r="C554" s="40"/>
      <c r="D554" s="40"/>
      <c r="E554" s="41"/>
      <c r="F554" s="41"/>
      <c r="G554" s="41"/>
      <c r="H554" s="42"/>
      <c r="I554" s="42"/>
      <c r="J554" s="42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2"/>
      <c r="X554" s="42"/>
      <c r="Y554" s="42"/>
      <c r="Z554" s="42"/>
      <c r="AA554" s="42"/>
      <c r="AB554" s="42"/>
      <c r="AC554" s="36"/>
      <c r="AD554" s="36"/>
      <c r="AE554" s="36"/>
      <c r="AF554" s="42"/>
      <c r="AG554" s="36"/>
    </row>
    <row r="555" spans="2:33" s="44" customFormat="1" x14ac:dyDescent="0.3">
      <c r="B555" s="23"/>
      <c r="C555" s="40"/>
      <c r="D555" s="40"/>
      <c r="E555" s="41"/>
      <c r="F555" s="41"/>
      <c r="G555" s="41"/>
      <c r="H555" s="42"/>
      <c r="I555" s="42"/>
      <c r="J555" s="42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2"/>
      <c r="X555" s="42"/>
      <c r="Y555" s="42"/>
      <c r="Z555" s="42"/>
      <c r="AA555" s="42"/>
      <c r="AB555" s="42"/>
      <c r="AC555" s="36"/>
      <c r="AD555" s="36"/>
      <c r="AE555" s="36"/>
      <c r="AF555" s="42"/>
      <c r="AG555" s="36"/>
    </row>
    <row r="556" spans="2:33" s="44" customFormat="1" x14ac:dyDescent="0.3">
      <c r="B556" s="23"/>
      <c r="C556" s="40"/>
      <c r="D556" s="40"/>
      <c r="E556" s="41"/>
      <c r="F556" s="41"/>
      <c r="G556" s="41"/>
      <c r="H556" s="42"/>
      <c r="I556" s="42"/>
      <c r="J556" s="42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2"/>
      <c r="X556" s="42"/>
      <c r="Y556" s="42"/>
      <c r="Z556" s="42"/>
      <c r="AA556" s="42"/>
      <c r="AB556" s="42"/>
      <c r="AC556" s="36"/>
      <c r="AD556" s="36"/>
      <c r="AE556" s="36"/>
      <c r="AF556" s="42"/>
      <c r="AG556" s="36"/>
    </row>
    <row r="557" spans="2:33" s="44" customFormat="1" x14ac:dyDescent="0.3">
      <c r="B557" s="23"/>
      <c r="C557" s="40"/>
      <c r="D557" s="40"/>
      <c r="E557" s="41"/>
      <c r="F557" s="41"/>
      <c r="G557" s="41"/>
      <c r="H557" s="42"/>
      <c r="I557" s="42"/>
      <c r="J557" s="42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2"/>
      <c r="X557" s="42"/>
      <c r="Y557" s="42"/>
      <c r="Z557" s="42"/>
      <c r="AA557" s="42"/>
      <c r="AB557" s="42"/>
      <c r="AC557" s="36"/>
      <c r="AD557" s="36"/>
      <c r="AE557" s="36"/>
      <c r="AF557" s="42"/>
      <c r="AG557" s="36"/>
    </row>
    <row r="558" spans="2:33" s="44" customFormat="1" x14ac:dyDescent="0.3">
      <c r="B558" s="23"/>
      <c r="C558" s="40"/>
      <c r="D558" s="40"/>
      <c r="E558" s="41"/>
      <c r="F558" s="41"/>
      <c r="G558" s="41"/>
      <c r="H558" s="42"/>
      <c r="I558" s="42"/>
      <c r="J558" s="42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2"/>
      <c r="X558" s="42"/>
      <c r="Y558" s="42"/>
      <c r="Z558" s="42"/>
      <c r="AA558" s="42"/>
      <c r="AB558" s="42"/>
      <c r="AC558" s="36"/>
      <c r="AD558" s="36"/>
      <c r="AE558" s="36"/>
      <c r="AF558" s="42"/>
      <c r="AG558" s="36"/>
    </row>
    <row r="559" spans="2:33" s="44" customFormat="1" x14ac:dyDescent="0.3">
      <c r="B559" s="23"/>
      <c r="C559" s="40"/>
      <c r="D559" s="40"/>
      <c r="E559" s="41"/>
      <c r="F559" s="41"/>
      <c r="G559" s="41"/>
      <c r="H559" s="42"/>
      <c r="I559" s="42"/>
      <c r="J559" s="42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2"/>
      <c r="X559" s="42"/>
      <c r="Y559" s="42"/>
      <c r="Z559" s="42"/>
      <c r="AA559" s="42"/>
      <c r="AB559" s="42"/>
      <c r="AC559" s="36"/>
      <c r="AD559" s="36"/>
      <c r="AE559" s="36"/>
      <c r="AF559" s="42"/>
      <c r="AG559" s="36"/>
    </row>
    <row r="560" spans="2:33" s="44" customFormat="1" x14ac:dyDescent="0.3">
      <c r="B560" s="23"/>
      <c r="C560" s="40"/>
      <c r="D560" s="40"/>
      <c r="E560" s="41"/>
      <c r="F560" s="41"/>
      <c r="G560" s="41"/>
      <c r="H560" s="42"/>
      <c r="I560" s="42"/>
      <c r="J560" s="42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2"/>
      <c r="X560" s="42"/>
      <c r="Y560" s="42"/>
      <c r="Z560" s="42"/>
      <c r="AA560" s="42"/>
      <c r="AB560" s="42"/>
      <c r="AC560" s="36"/>
      <c r="AD560" s="36"/>
      <c r="AE560" s="36"/>
      <c r="AF560" s="42"/>
      <c r="AG560" s="36"/>
    </row>
    <row r="561" spans="2:33" s="44" customFormat="1" x14ac:dyDescent="0.3">
      <c r="B561" s="23"/>
      <c r="C561" s="40"/>
      <c r="D561" s="40"/>
      <c r="E561" s="41"/>
      <c r="F561" s="41"/>
      <c r="G561" s="41"/>
      <c r="H561" s="42"/>
      <c r="I561" s="42"/>
      <c r="J561" s="42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2"/>
      <c r="X561" s="42"/>
      <c r="Y561" s="42"/>
      <c r="Z561" s="42"/>
      <c r="AA561" s="42"/>
      <c r="AB561" s="42"/>
      <c r="AC561" s="36"/>
      <c r="AD561" s="36"/>
      <c r="AE561" s="36"/>
      <c r="AF561" s="42"/>
      <c r="AG561" s="36"/>
    </row>
    <row r="562" spans="2:33" s="44" customFormat="1" x14ac:dyDescent="0.3">
      <c r="B562" s="23"/>
      <c r="C562" s="40"/>
      <c r="D562" s="40"/>
      <c r="E562" s="41"/>
      <c r="F562" s="41"/>
      <c r="G562" s="41"/>
      <c r="H562" s="42"/>
      <c r="I562" s="42"/>
      <c r="J562" s="42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2"/>
      <c r="X562" s="42"/>
      <c r="Y562" s="42"/>
      <c r="Z562" s="42"/>
      <c r="AA562" s="42"/>
      <c r="AB562" s="42"/>
      <c r="AC562" s="36"/>
      <c r="AD562" s="36"/>
      <c r="AE562" s="36"/>
      <c r="AF562" s="42"/>
      <c r="AG562" s="36"/>
    </row>
    <row r="563" spans="2:33" s="44" customFormat="1" x14ac:dyDescent="0.3">
      <c r="B563" s="23"/>
      <c r="C563" s="40"/>
      <c r="D563" s="40"/>
      <c r="E563" s="41"/>
      <c r="F563" s="41"/>
      <c r="G563" s="41"/>
      <c r="H563" s="42"/>
      <c r="I563" s="42"/>
      <c r="J563" s="42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2"/>
      <c r="X563" s="42"/>
      <c r="Y563" s="42"/>
      <c r="Z563" s="42"/>
      <c r="AA563" s="42"/>
      <c r="AB563" s="42"/>
      <c r="AC563" s="36"/>
      <c r="AD563" s="36"/>
      <c r="AE563" s="36"/>
      <c r="AF563" s="42"/>
      <c r="AG563" s="36"/>
    </row>
    <row r="564" spans="2:33" s="44" customFormat="1" x14ac:dyDescent="0.3">
      <c r="B564" s="23"/>
      <c r="C564" s="40"/>
      <c r="D564" s="40"/>
      <c r="E564" s="41"/>
      <c r="F564" s="41"/>
      <c r="G564" s="41"/>
      <c r="H564" s="42"/>
      <c r="I564" s="42"/>
      <c r="J564" s="42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2"/>
      <c r="X564" s="42"/>
      <c r="Y564" s="42"/>
      <c r="Z564" s="42"/>
      <c r="AA564" s="42"/>
      <c r="AB564" s="42"/>
      <c r="AC564" s="36"/>
      <c r="AD564" s="36"/>
      <c r="AE564" s="36"/>
      <c r="AF564" s="42"/>
      <c r="AG564" s="36"/>
    </row>
    <row r="565" spans="2:33" s="44" customFormat="1" x14ac:dyDescent="0.3">
      <c r="B565" s="23"/>
      <c r="C565" s="40"/>
      <c r="D565" s="40"/>
      <c r="E565" s="41"/>
      <c r="F565" s="41"/>
      <c r="G565" s="41"/>
      <c r="H565" s="42"/>
      <c r="I565" s="42"/>
      <c r="J565" s="42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2"/>
      <c r="X565" s="42"/>
      <c r="Y565" s="42"/>
      <c r="Z565" s="42"/>
      <c r="AA565" s="42"/>
      <c r="AB565" s="42"/>
      <c r="AC565" s="36"/>
      <c r="AD565" s="36"/>
      <c r="AE565" s="36"/>
      <c r="AF565" s="42"/>
      <c r="AG565" s="36"/>
    </row>
    <row r="566" spans="2:33" s="44" customFormat="1" x14ac:dyDescent="0.3">
      <c r="B566" s="23"/>
      <c r="C566" s="40"/>
      <c r="D566" s="40"/>
      <c r="E566" s="41"/>
      <c r="F566" s="41"/>
      <c r="G566" s="41"/>
      <c r="H566" s="42"/>
      <c r="I566" s="42"/>
      <c r="J566" s="42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2"/>
      <c r="X566" s="42"/>
      <c r="Y566" s="42"/>
      <c r="Z566" s="42"/>
      <c r="AA566" s="42"/>
      <c r="AB566" s="42"/>
      <c r="AC566" s="36"/>
      <c r="AD566" s="36"/>
      <c r="AE566" s="36"/>
      <c r="AF566" s="42"/>
      <c r="AG566" s="36"/>
    </row>
    <row r="567" spans="2:33" s="44" customFormat="1" x14ac:dyDescent="0.3">
      <c r="B567" s="23"/>
      <c r="C567" s="40"/>
      <c r="D567" s="40"/>
      <c r="E567" s="41"/>
      <c r="F567" s="41"/>
      <c r="G567" s="41"/>
      <c r="H567" s="42"/>
      <c r="I567" s="42"/>
      <c r="J567" s="42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2"/>
      <c r="X567" s="42"/>
      <c r="Y567" s="42"/>
      <c r="Z567" s="42"/>
      <c r="AA567" s="42"/>
      <c r="AB567" s="42"/>
      <c r="AC567" s="36"/>
      <c r="AD567" s="36"/>
      <c r="AE567" s="36"/>
      <c r="AF567" s="42"/>
      <c r="AG567" s="36"/>
    </row>
    <row r="568" spans="2:33" s="44" customFormat="1" x14ac:dyDescent="0.3">
      <c r="B568" s="23"/>
      <c r="C568" s="40"/>
      <c r="D568" s="40"/>
      <c r="E568" s="41"/>
      <c r="F568" s="41"/>
      <c r="G568" s="41"/>
      <c r="H568" s="42"/>
      <c r="I568" s="42"/>
      <c r="J568" s="42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2"/>
      <c r="X568" s="42"/>
      <c r="Y568" s="42"/>
      <c r="Z568" s="42"/>
      <c r="AA568" s="42"/>
      <c r="AB568" s="42"/>
      <c r="AC568" s="36"/>
      <c r="AD568" s="36"/>
      <c r="AE568" s="36"/>
      <c r="AF568" s="42"/>
      <c r="AG568" s="36"/>
    </row>
    <row r="569" spans="2:33" s="44" customFormat="1" x14ac:dyDescent="0.3">
      <c r="B569" s="23"/>
      <c r="C569" s="40"/>
      <c r="D569" s="40"/>
      <c r="E569" s="41"/>
      <c r="F569" s="41"/>
      <c r="G569" s="41"/>
      <c r="H569" s="42"/>
      <c r="I569" s="42"/>
      <c r="J569" s="42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2"/>
      <c r="X569" s="42"/>
      <c r="Y569" s="42"/>
      <c r="Z569" s="42"/>
      <c r="AA569" s="42"/>
      <c r="AB569" s="42"/>
      <c r="AC569" s="36"/>
      <c r="AD569" s="36"/>
      <c r="AE569" s="36"/>
      <c r="AF569" s="42"/>
      <c r="AG569" s="36"/>
    </row>
    <row r="570" spans="2:33" s="44" customFormat="1" x14ac:dyDescent="0.3">
      <c r="B570" s="23"/>
      <c r="C570" s="40"/>
      <c r="D570" s="40"/>
      <c r="E570" s="41"/>
      <c r="F570" s="41"/>
      <c r="G570" s="41"/>
      <c r="H570" s="42"/>
      <c r="I570" s="42"/>
      <c r="J570" s="42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2"/>
      <c r="X570" s="42"/>
      <c r="Y570" s="42"/>
      <c r="Z570" s="42"/>
      <c r="AA570" s="42"/>
      <c r="AB570" s="42"/>
      <c r="AC570" s="36"/>
      <c r="AD570" s="36"/>
      <c r="AE570" s="36"/>
      <c r="AF570" s="42"/>
      <c r="AG570" s="36"/>
    </row>
    <row r="571" spans="2:33" s="44" customFormat="1" x14ac:dyDescent="0.3">
      <c r="B571" s="23"/>
      <c r="C571" s="40"/>
      <c r="D571" s="40"/>
      <c r="E571" s="41"/>
      <c r="F571" s="41"/>
      <c r="G571" s="41"/>
      <c r="H571" s="42"/>
      <c r="I571" s="42"/>
      <c r="J571" s="42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2"/>
      <c r="X571" s="42"/>
      <c r="Y571" s="42"/>
      <c r="Z571" s="42"/>
      <c r="AA571" s="42"/>
      <c r="AB571" s="42"/>
      <c r="AC571" s="36"/>
      <c r="AD571" s="36"/>
      <c r="AE571" s="36"/>
      <c r="AF571" s="42"/>
      <c r="AG571" s="36"/>
    </row>
    <row r="572" spans="2:33" s="44" customFormat="1" x14ac:dyDescent="0.3">
      <c r="B572" s="23"/>
      <c r="C572" s="40"/>
      <c r="D572" s="40"/>
      <c r="E572" s="41"/>
      <c r="F572" s="41"/>
      <c r="G572" s="41"/>
      <c r="H572" s="42"/>
      <c r="I572" s="42"/>
      <c r="J572" s="42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2"/>
      <c r="X572" s="42"/>
      <c r="Y572" s="42"/>
      <c r="Z572" s="42"/>
      <c r="AA572" s="42"/>
      <c r="AB572" s="42"/>
      <c r="AC572" s="36"/>
      <c r="AD572" s="36"/>
      <c r="AE572" s="36"/>
      <c r="AF572" s="42"/>
      <c r="AG572" s="36"/>
    </row>
    <row r="573" spans="2:33" s="44" customFormat="1" x14ac:dyDescent="0.3">
      <c r="B573" s="23"/>
      <c r="C573" s="40"/>
      <c r="D573" s="40"/>
      <c r="E573" s="41"/>
      <c r="F573" s="41"/>
      <c r="G573" s="41"/>
      <c r="H573" s="42"/>
      <c r="I573" s="42"/>
      <c r="J573" s="42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2"/>
      <c r="X573" s="42"/>
      <c r="Y573" s="42"/>
      <c r="Z573" s="42"/>
      <c r="AA573" s="42"/>
      <c r="AB573" s="42"/>
      <c r="AC573" s="36"/>
      <c r="AD573" s="36"/>
      <c r="AE573" s="36"/>
      <c r="AF573" s="42"/>
      <c r="AG573" s="36"/>
    </row>
    <row r="574" spans="2:33" s="44" customFormat="1" x14ac:dyDescent="0.3">
      <c r="B574" s="23"/>
      <c r="C574" s="40"/>
      <c r="D574" s="40"/>
      <c r="E574" s="41"/>
      <c r="F574" s="41"/>
      <c r="G574" s="41"/>
      <c r="H574" s="42"/>
      <c r="I574" s="42"/>
      <c r="J574" s="42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2"/>
      <c r="X574" s="42"/>
      <c r="Y574" s="42"/>
      <c r="Z574" s="42"/>
      <c r="AA574" s="42"/>
      <c r="AB574" s="42"/>
      <c r="AC574" s="36"/>
      <c r="AD574" s="36"/>
      <c r="AE574" s="36"/>
      <c r="AF574" s="42"/>
      <c r="AG574" s="36"/>
    </row>
    <row r="575" spans="2:33" s="44" customFormat="1" x14ac:dyDescent="0.3">
      <c r="B575" s="23"/>
      <c r="C575" s="40"/>
      <c r="D575" s="40"/>
      <c r="E575" s="41"/>
      <c r="F575" s="41"/>
      <c r="G575" s="41"/>
      <c r="H575" s="42"/>
      <c r="I575" s="42"/>
      <c r="J575" s="42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2"/>
      <c r="X575" s="42"/>
      <c r="Y575" s="42"/>
      <c r="Z575" s="42"/>
      <c r="AA575" s="42"/>
      <c r="AB575" s="42"/>
      <c r="AC575" s="36"/>
      <c r="AD575" s="36"/>
      <c r="AE575" s="36"/>
      <c r="AF575" s="42"/>
      <c r="AG575" s="36"/>
    </row>
    <row r="576" spans="2:33" s="44" customFormat="1" x14ac:dyDescent="0.3">
      <c r="B576" s="23"/>
      <c r="C576" s="40"/>
      <c r="D576" s="40"/>
      <c r="E576" s="41"/>
      <c r="F576" s="41"/>
      <c r="G576" s="41"/>
      <c r="H576" s="42"/>
      <c r="I576" s="42"/>
      <c r="J576" s="42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2"/>
      <c r="X576" s="42"/>
      <c r="Y576" s="42"/>
      <c r="Z576" s="42"/>
      <c r="AA576" s="42"/>
      <c r="AB576" s="42"/>
      <c r="AC576" s="36"/>
      <c r="AD576" s="36"/>
      <c r="AE576" s="36"/>
      <c r="AF576" s="42"/>
      <c r="AG576" s="36"/>
    </row>
    <row r="577" spans="2:33" s="44" customFormat="1" x14ac:dyDescent="0.3">
      <c r="B577" s="23"/>
      <c r="C577" s="40"/>
      <c r="D577" s="40"/>
      <c r="E577" s="41"/>
      <c r="F577" s="41"/>
      <c r="G577" s="41"/>
      <c r="H577" s="42"/>
      <c r="I577" s="42"/>
      <c r="J577" s="42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2"/>
      <c r="X577" s="42"/>
      <c r="Y577" s="42"/>
      <c r="Z577" s="42"/>
      <c r="AA577" s="42"/>
      <c r="AB577" s="42"/>
      <c r="AC577" s="36"/>
      <c r="AD577" s="36"/>
      <c r="AE577" s="36"/>
      <c r="AF577" s="42"/>
      <c r="AG577" s="36"/>
    </row>
    <row r="578" spans="2:33" s="44" customFormat="1" x14ac:dyDescent="0.3">
      <c r="B578" s="23"/>
      <c r="C578" s="40"/>
      <c r="D578" s="40"/>
      <c r="E578" s="41"/>
      <c r="F578" s="41"/>
      <c r="G578" s="41"/>
      <c r="H578" s="42"/>
      <c r="I578" s="42"/>
      <c r="J578" s="42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2"/>
      <c r="X578" s="42"/>
      <c r="Y578" s="42"/>
      <c r="Z578" s="42"/>
      <c r="AA578" s="42"/>
      <c r="AB578" s="42"/>
      <c r="AC578" s="36"/>
      <c r="AD578" s="36"/>
      <c r="AE578" s="36"/>
      <c r="AF578" s="42"/>
      <c r="AG578" s="36"/>
    </row>
    <row r="579" spans="2:33" s="44" customFormat="1" x14ac:dyDescent="0.3">
      <c r="B579" s="23"/>
      <c r="C579" s="40"/>
      <c r="D579" s="40"/>
      <c r="E579" s="41"/>
      <c r="F579" s="41"/>
      <c r="G579" s="41"/>
      <c r="H579" s="42"/>
      <c r="I579" s="42"/>
      <c r="J579" s="42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2"/>
      <c r="X579" s="42"/>
      <c r="Y579" s="42"/>
      <c r="Z579" s="42"/>
      <c r="AA579" s="42"/>
      <c r="AB579" s="42"/>
      <c r="AC579" s="36"/>
      <c r="AD579" s="36"/>
      <c r="AE579" s="36"/>
      <c r="AF579" s="42"/>
      <c r="AG579" s="36"/>
    </row>
    <row r="580" spans="2:33" s="44" customFormat="1" x14ac:dyDescent="0.3">
      <c r="B580" s="23"/>
      <c r="C580" s="40"/>
      <c r="D580" s="40"/>
      <c r="E580" s="41"/>
      <c r="F580" s="41"/>
      <c r="G580" s="41"/>
      <c r="H580" s="42"/>
      <c r="I580" s="42"/>
      <c r="J580" s="42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2"/>
      <c r="X580" s="42"/>
      <c r="Y580" s="42"/>
      <c r="Z580" s="42"/>
      <c r="AA580" s="42"/>
      <c r="AB580" s="42"/>
      <c r="AC580" s="36"/>
      <c r="AD580" s="36"/>
      <c r="AE580" s="36"/>
      <c r="AF580" s="42"/>
      <c r="AG580" s="36"/>
    </row>
    <row r="581" spans="2:33" s="44" customFormat="1" x14ac:dyDescent="0.3">
      <c r="B581" s="23"/>
      <c r="C581" s="40"/>
      <c r="D581" s="40"/>
      <c r="E581" s="41"/>
      <c r="F581" s="41"/>
      <c r="G581" s="41"/>
      <c r="H581" s="42"/>
      <c r="I581" s="42"/>
      <c r="J581" s="42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2"/>
      <c r="X581" s="42"/>
      <c r="Y581" s="42"/>
      <c r="Z581" s="42"/>
      <c r="AA581" s="42"/>
      <c r="AB581" s="42"/>
      <c r="AC581" s="36"/>
      <c r="AD581" s="36"/>
      <c r="AE581" s="36"/>
      <c r="AF581" s="42"/>
      <c r="AG581" s="36"/>
    </row>
    <row r="582" spans="2:33" s="44" customFormat="1" x14ac:dyDescent="0.3">
      <c r="B582" s="23"/>
      <c r="C582" s="40"/>
      <c r="D582" s="40"/>
      <c r="E582" s="41"/>
      <c r="F582" s="41"/>
      <c r="G582" s="41"/>
      <c r="H582" s="42"/>
      <c r="I582" s="42"/>
      <c r="J582" s="42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2"/>
      <c r="X582" s="42"/>
      <c r="Y582" s="42"/>
      <c r="Z582" s="42"/>
      <c r="AA582" s="42"/>
      <c r="AB582" s="42"/>
      <c r="AC582" s="36"/>
      <c r="AD582" s="36"/>
      <c r="AE582" s="36"/>
      <c r="AF582" s="42"/>
      <c r="AG582" s="36"/>
    </row>
    <row r="583" spans="2:33" s="44" customFormat="1" x14ac:dyDescent="0.3">
      <c r="B583" s="23"/>
      <c r="C583" s="40"/>
      <c r="D583" s="40"/>
      <c r="E583" s="41"/>
      <c r="F583" s="41"/>
      <c r="G583" s="41"/>
      <c r="H583" s="42"/>
      <c r="I583" s="42"/>
      <c r="J583" s="42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2"/>
      <c r="X583" s="42"/>
      <c r="Y583" s="42"/>
      <c r="Z583" s="42"/>
      <c r="AA583" s="42"/>
      <c r="AB583" s="42"/>
      <c r="AC583" s="36"/>
      <c r="AD583" s="36"/>
      <c r="AE583" s="36"/>
      <c r="AF583" s="42"/>
      <c r="AG583" s="36"/>
    </row>
    <row r="584" spans="2:33" s="44" customFormat="1" x14ac:dyDescent="0.3">
      <c r="B584" s="23"/>
      <c r="C584" s="40"/>
      <c r="D584" s="40"/>
      <c r="E584" s="41"/>
      <c r="F584" s="41"/>
      <c r="G584" s="41"/>
      <c r="H584" s="42"/>
      <c r="I584" s="42"/>
      <c r="J584" s="42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2"/>
      <c r="X584" s="42"/>
      <c r="Y584" s="42"/>
      <c r="Z584" s="42"/>
      <c r="AA584" s="42"/>
      <c r="AB584" s="42"/>
      <c r="AC584" s="36"/>
      <c r="AD584" s="36"/>
      <c r="AE584" s="36"/>
      <c r="AF584" s="42"/>
      <c r="AG584" s="36"/>
    </row>
    <row r="585" spans="2:33" s="44" customFormat="1" x14ac:dyDescent="0.3">
      <c r="B585" s="23"/>
      <c r="C585" s="40"/>
      <c r="D585" s="40"/>
      <c r="E585" s="41"/>
      <c r="F585" s="41"/>
      <c r="G585" s="41"/>
      <c r="H585" s="42"/>
      <c r="I585" s="42"/>
      <c r="J585" s="42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2"/>
      <c r="X585" s="42"/>
      <c r="Y585" s="42"/>
      <c r="Z585" s="42"/>
      <c r="AA585" s="42"/>
      <c r="AB585" s="42"/>
      <c r="AC585" s="36"/>
      <c r="AD585" s="36"/>
      <c r="AE585" s="36"/>
      <c r="AF585" s="42"/>
      <c r="AG585" s="36"/>
    </row>
    <row r="586" spans="2:33" s="44" customFormat="1" x14ac:dyDescent="0.3">
      <c r="B586" s="23"/>
      <c r="C586" s="40"/>
      <c r="D586" s="40"/>
      <c r="E586" s="41"/>
      <c r="F586" s="41"/>
      <c r="G586" s="41"/>
      <c r="H586" s="42"/>
      <c r="I586" s="42"/>
      <c r="J586" s="42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2"/>
      <c r="X586" s="42"/>
      <c r="Y586" s="42"/>
      <c r="Z586" s="42"/>
      <c r="AA586" s="42"/>
      <c r="AB586" s="42"/>
      <c r="AC586" s="36"/>
      <c r="AD586" s="36"/>
      <c r="AE586" s="36"/>
      <c r="AF586" s="42"/>
      <c r="AG586" s="36"/>
    </row>
    <row r="587" spans="2:33" s="44" customFormat="1" x14ac:dyDescent="0.3">
      <c r="B587" s="23"/>
      <c r="C587" s="40"/>
      <c r="D587" s="40"/>
      <c r="E587" s="41"/>
      <c r="F587" s="41"/>
      <c r="G587" s="41"/>
      <c r="H587" s="42"/>
      <c r="I587" s="42"/>
      <c r="J587" s="42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2"/>
      <c r="X587" s="42"/>
      <c r="Y587" s="42"/>
      <c r="Z587" s="42"/>
      <c r="AA587" s="42"/>
      <c r="AB587" s="42"/>
      <c r="AC587" s="36"/>
      <c r="AD587" s="36"/>
      <c r="AE587" s="36"/>
      <c r="AF587" s="42"/>
      <c r="AG587" s="36"/>
    </row>
    <row r="588" spans="2:33" s="44" customFormat="1" x14ac:dyDescent="0.3">
      <c r="B588" s="23"/>
      <c r="C588" s="40"/>
      <c r="D588" s="40"/>
      <c r="E588" s="41"/>
      <c r="F588" s="41"/>
      <c r="G588" s="41"/>
      <c r="H588" s="42"/>
      <c r="I588" s="42"/>
      <c r="J588" s="42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2"/>
      <c r="X588" s="42"/>
      <c r="Y588" s="42"/>
      <c r="Z588" s="42"/>
      <c r="AA588" s="42"/>
      <c r="AB588" s="42"/>
      <c r="AC588" s="36"/>
      <c r="AD588" s="36"/>
      <c r="AE588" s="36"/>
      <c r="AF588" s="42"/>
      <c r="AG588" s="36"/>
    </row>
    <row r="589" spans="2:33" s="44" customFormat="1" x14ac:dyDescent="0.3">
      <c r="B589" s="23"/>
      <c r="C589" s="40"/>
      <c r="D589" s="40"/>
      <c r="E589" s="41"/>
      <c r="F589" s="41"/>
      <c r="G589" s="41"/>
      <c r="H589" s="42"/>
      <c r="I589" s="42"/>
      <c r="J589" s="42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2"/>
      <c r="X589" s="42"/>
      <c r="Y589" s="42"/>
      <c r="Z589" s="42"/>
      <c r="AA589" s="42"/>
      <c r="AB589" s="42"/>
      <c r="AC589" s="36"/>
      <c r="AD589" s="36"/>
      <c r="AE589" s="36"/>
      <c r="AF589" s="42"/>
      <c r="AG589" s="36"/>
    </row>
    <row r="590" spans="2:33" s="44" customFormat="1" x14ac:dyDescent="0.3">
      <c r="B590" s="23"/>
      <c r="C590" s="40"/>
      <c r="D590" s="40"/>
      <c r="E590" s="41"/>
      <c r="F590" s="41"/>
      <c r="G590" s="41"/>
      <c r="H590" s="42"/>
      <c r="I590" s="42"/>
      <c r="J590" s="42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2"/>
      <c r="X590" s="42"/>
      <c r="Y590" s="42"/>
      <c r="Z590" s="42"/>
      <c r="AA590" s="42"/>
      <c r="AB590" s="42"/>
      <c r="AC590" s="36"/>
      <c r="AD590" s="36"/>
      <c r="AE590" s="36"/>
      <c r="AF590" s="42"/>
      <c r="AG590" s="36"/>
    </row>
    <row r="591" spans="2:33" s="44" customFormat="1" x14ac:dyDescent="0.3">
      <c r="B591" s="23"/>
      <c r="C591" s="40"/>
      <c r="D591" s="40"/>
      <c r="E591" s="41"/>
      <c r="F591" s="41"/>
      <c r="G591" s="41"/>
      <c r="H591" s="42"/>
      <c r="I591" s="42"/>
      <c r="J591" s="42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2"/>
      <c r="X591" s="42"/>
      <c r="Y591" s="42"/>
      <c r="Z591" s="42"/>
      <c r="AA591" s="42"/>
      <c r="AB591" s="42"/>
      <c r="AC591" s="36"/>
      <c r="AD591" s="36"/>
      <c r="AE591" s="36"/>
      <c r="AF591" s="42"/>
      <c r="AG591" s="36"/>
    </row>
    <row r="592" spans="2:33" s="44" customFormat="1" x14ac:dyDescent="0.3">
      <c r="B592" s="23"/>
      <c r="C592" s="40"/>
      <c r="D592" s="40"/>
      <c r="E592" s="41"/>
      <c r="F592" s="41"/>
      <c r="G592" s="41"/>
      <c r="H592" s="42"/>
      <c r="I592" s="42"/>
      <c r="J592" s="42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2"/>
      <c r="X592" s="42"/>
      <c r="Y592" s="42"/>
      <c r="Z592" s="42"/>
      <c r="AA592" s="42"/>
      <c r="AB592" s="42"/>
      <c r="AC592" s="36"/>
      <c r="AD592" s="36"/>
      <c r="AE592" s="36"/>
      <c r="AF592" s="42"/>
      <c r="AG592" s="36"/>
    </row>
    <row r="593" spans="2:33" s="44" customFormat="1" x14ac:dyDescent="0.3">
      <c r="B593" s="23"/>
      <c r="C593" s="40"/>
      <c r="D593" s="40"/>
      <c r="E593" s="41"/>
      <c r="F593" s="41"/>
      <c r="G593" s="41"/>
      <c r="H593" s="42"/>
      <c r="I593" s="42"/>
      <c r="J593" s="42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2"/>
      <c r="X593" s="42"/>
      <c r="Y593" s="42"/>
      <c r="Z593" s="42"/>
      <c r="AA593" s="42"/>
      <c r="AB593" s="42"/>
      <c r="AC593" s="36"/>
      <c r="AD593" s="36"/>
      <c r="AE593" s="36"/>
      <c r="AF593" s="42"/>
      <c r="AG593" s="36"/>
    </row>
    <row r="594" spans="2:33" s="44" customFormat="1" x14ac:dyDescent="0.3">
      <c r="B594" s="23"/>
      <c r="C594" s="40"/>
      <c r="D594" s="40"/>
      <c r="E594" s="41"/>
      <c r="F594" s="41"/>
      <c r="G594" s="41"/>
      <c r="H594" s="42"/>
      <c r="I594" s="42"/>
      <c r="J594" s="42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2"/>
      <c r="X594" s="42"/>
      <c r="Y594" s="42"/>
      <c r="Z594" s="42"/>
      <c r="AA594" s="42"/>
      <c r="AB594" s="42"/>
      <c r="AC594" s="36"/>
      <c r="AD594" s="36"/>
      <c r="AE594" s="36"/>
      <c r="AF594" s="42"/>
      <c r="AG594" s="36"/>
    </row>
    <row r="595" spans="2:33" s="44" customFormat="1" x14ac:dyDescent="0.3">
      <c r="B595" s="23"/>
      <c r="C595" s="40"/>
      <c r="D595" s="40"/>
      <c r="E595" s="41"/>
      <c r="F595" s="41"/>
      <c r="G595" s="41"/>
      <c r="H595" s="42"/>
      <c r="I595" s="42"/>
      <c r="J595" s="42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2"/>
      <c r="X595" s="42"/>
      <c r="Y595" s="42"/>
      <c r="Z595" s="42"/>
      <c r="AA595" s="42"/>
      <c r="AB595" s="42"/>
      <c r="AC595" s="36"/>
      <c r="AD595" s="36"/>
      <c r="AE595" s="36"/>
      <c r="AF595" s="42"/>
      <c r="AG595" s="36"/>
    </row>
    <row r="596" spans="2:33" s="44" customFormat="1" x14ac:dyDescent="0.3">
      <c r="B596" s="23"/>
      <c r="C596" s="40"/>
      <c r="D596" s="40"/>
      <c r="E596" s="41"/>
      <c r="F596" s="41"/>
      <c r="G596" s="41"/>
      <c r="H596" s="42"/>
      <c r="I596" s="42"/>
      <c r="J596" s="42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2"/>
      <c r="X596" s="42"/>
      <c r="Y596" s="42"/>
      <c r="Z596" s="42"/>
      <c r="AA596" s="42"/>
      <c r="AB596" s="42"/>
      <c r="AC596" s="36"/>
      <c r="AD596" s="36"/>
      <c r="AE596" s="36"/>
      <c r="AF596" s="42"/>
      <c r="AG596" s="36"/>
    </row>
    <row r="597" spans="2:33" s="44" customFormat="1" x14ac:dyDescent="0.3">
      <c r="B597" s="23"/>
      <c r="C597" s="40"/>
      <c r="D597" s="40"/>
      <c r="E597" s="41"/>
      <c r="F597" s="41"/>
      <c r="G597" s="41"/>
      <c r="H597" s="42"/>
      <c r="I597" s="42"/>
      <c r="J597" s="42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2"/>
      <c r="X597" s="42"/>
      <c r="Y597" s="42"/>
      <c r="Z597" s="42"/>
      <c r="AA597" s="42"/>
      <c r="AB597" s="42"/>
      <c r="AC597" s="36"/>
      <c r="AD597" s="36"/>
      <c r="AE597" s="36"/>
      <c r="AF597" s="42"/>
      <c r="AG597" s="36"/>
    </row>
    <row r="598" spans="2:33" s="44" customFormat="1" x14ac:dyDescent="0.3">
      <c r="B598" s="23"/>
      <c r="C598" s="40"/>
      <c r="D598" s="40"/>
      <c r="E598" s="41"/>
      <c r="F598" s="41"/>
      <c r="G598" s="41"/>
      <c r="H598" s="42"/>
      <c r="I598" s="42"/>
      <c r="J598" s="42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2"/>
      <c r="X598" s="42"/>
      <c r="Y598" s="42"/>
      <c r="Z598" s="42"/>
      <c r="AA598" s="42"/>
      <c r="AB598" s="42"/>
      <c r="AC598" s="36"/>
      <c r="AD598" s="36"/>
      <c r="AE598" s="36"/>
      <c r="AF598" s="42"/>
      <c r="AG598" s="36"/>
    </row>
    <row r="599" spans="2:33" s="44" customFormat="1" x14ac:dyDescent="0.3">
      <c r="B599" s="23"/>
      <c r="C599" s="40"/>
      <c r="D599" s="40"/>
      <c r="E599" s="41"/>
      <c r="F599" s="41"/>
      <c r="G599" s="41"/>
      <c r="H599" s="42"/>
      <c r="I599" s="42"/>
      <c r="J599" s="42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2"/>
      <c r="X599" s="42"/>
      <c r="Y599" s="42"/>
      <c r="Z599" s="42"/>
      <c r="AA599" s="42"/>
      <c r="AB599" s="42"/>
      <c r="AC599" s="36"/>
      <c r="AD599" s="36"/>
      <c r="AE599" s="36"/>
      <c r="AF599" s="42"/>
      <c r="AG599" s="36"/>
    </row>
    <row r="600" spans="2:33" s="44" customFormat="1" x14ac:dyDescent="0.3">
      <c r="B600" s="23"/>
      <c r="C600" s="40"/>
      <c r="D600" s="40"/>
      <c r="E600" s="41"/>
      <c r="F600" s="41"/>
      <c r="G600" s="41"/>
      <c r="H600" s="42"/>
      <c r="I600" s="42"/>
      <c r="J600" s="42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2"/>
      <c r="X600" s="42"/>
      <c r="Y600" s="42"/>
      <c r="Z600" s="42"/>
      <c r="AA600" s="42"/>
      <c r="AB600" s="42"/>
      <c r="AC600" s="36"/>
      <c r="AD600" s="36"/>
      <c r="AE600" s="36"/>
      <c r="AF600" s="42"/>
      <c r="AG600" s="36"/>
    </row>
    <row r="601" spans="2:33" s="44" customFormat="1" x14ac:dyDescent="0.3">
      <c r="B601" s="23"/>
      <c r="C601" s="40"/>
      <c r="D601" s="40"/>
      <c r="E601" s="41"/>
      <c r="F601" s="41"/>
      <c r="G601" s="41"/>
      <c r="H601" s="42"/>
      <c r="I601" s="42"/>
      <c r="J601" s="42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2"/>
      <c r="X601" s="42"/>
      <c r="Y601" s="42"/>
      <c r="Z601" s="42"/>
      <c r="AA601" s="42"/>
      <c r="AB601" s="42"/>
      <c r="AC601" s="36"/>
      <c r="AD601" s="36"/>
      <c r="AE601" s="36"/>
      <c r="AF601" s="42"/>
      <c r="AG601" s="36"/>
    </row>
    <row r="602" spans="2:33" s="44" customFormat="1" x14ac:dyDescent="0.3">
      <c r="B602" s="23"/>
      <c r="C602" s="40"/>
      <c r="D602" s="40"/>
      <c r="E602" s="41"/>
      <c r="F602" s="41"/>
      <c r="G602" s="41"/>
      <c r="H602" s="42"/>
      <c r="I602" s="42"/>
      <c r="J602" s="42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2"/>
      <c r="X602" s="42"/>
      <c r="Y602" s="42"/>
      <c r="Z602" s="42"/>
      <c r="AA602" s="42"/>
      <c r="AB602" s="42"/>
      <c r="AC602" s="36"/>
      <c r="AD602" s="36"/>
      <c r="AE602" s="36"/>
      <c r="AF602" s="42"/>
      <c r="AG602" s="36"/>
    </row>
    <row r="603" spans="2:33" s="44" customFormat="1" x14ac:dyDescent="0.3">
      <c r="B603" s="23"/>
      <c r="C603" s="40"/>
      <c r="D603" s="40"/>
      <c r="E603" s="41"/>
      <c r="F603" s="41"/>
      <c r="G603" s="41"/>
      <c r="H603" s="42"/>
      <c r="I603" s="42"/>
      <c r="J603" s="42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2"/>
      <c r="X603" s="42"/>
      <c r="Y603" s="42"/>
      <c r="Z603" s="42"/>
      <c r="AA603" s="42"/>
      <c r="AB603" s="42"/>
      <c r="AC603" s="36"/>
      <c r="AD603" s="36"/>
      <c r="AE603" s="36"/>
      <c r="AF603" s="42"/>
      <c r="AG603" s="36"/>
    </row>
    <row r="604" spans="2:33" s="44" customFormat="1" x14ac:dyDescent="0.3">
      <c r="B604" s="23"/>
      <c r="C604" s="40"/>
      <c r="D604" s="40"/>
      <c r="E604" s="41"/>
      <c r="F604" s="41"/>
      <c r="G604" s="41"/>
      <c r="H604" s="42"/>
      <c r="I604" s="42"/>
      <c r="J604" s="42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2"/>
      <c r="X604" s="42"/>
      <c r="Y604" s="42"/>
      <c r="Z604" s="42"/>
      <c r="AA604" s="42"/>
      <c r="AB604" s="42"/>
      <c r="AC604" s="36"/>
      <c r="AD604" s="36"/>
      <c r="AE604" s="36"/>
      <c r="AF604" s="42"/>
      <c r="AG604" s="36"/>
    </row>
    <row r="605" spans="2:33" s="44" customFormat="1" x14ac:dyDescent="0.3">
      <c r="B605" s="23"/>
      <c r="C605" s="40"/>
      <c r="D605" s="40"/>
      <c r="E605" s="41"/>
      <c r="F605" s="41"/>
      <c r="G605" s="41"/>
      <c r="H605" s="42"/>
      <c r="I605" s="42"/>
      <c r="J605" s="42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2"/>
      <c r="X605" s="42"/>
      <c r="Y605" s="42"/>
      <c r="Z605" s="42"/>
      <c r="AA605" s="42"/>
      <c r="AB605" s="42"/>
      <c r="AC605" s="36"/>
      <c r="AD605" s="36"/>
      <c r="AE605" s="36"/>
      <c r="AF605" s="42"/>
      <c r="AG605" s="36"/>
    </row>
    <row r="606" spans="2:33" s="44" customFormat="1" x14ac:dyDescent="0.3">
      <c r="B606" s="23"/>
      <c r="C606" s="40"/>
      <c r="D606" s="40"/>
      <c r="E606" s="41"/>
      <c r="F606" s="41"/>
      <c r="G606" s="41"/>
      <c r="H606" s="42"/>
      <c r="I606" s="42"/>
      <c r="J606" s="42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2"/>
      <c r="X606" s="42"/>
      <c r="Y606" s="42"/>
      <c r="Z606" s="42"/>
      <c r="AA606" s="42"/>
      <c r="AB606" s="42"/>
      <c r="AC606" s="36"/>
      <c r="AD606" s="36"/>
      <c r="AE606" s="36"/>
      <c r="AF606" s="42"/>
      <c r="AG606" s="36"/>
    </row>
    <row r="607" spans="2:33" s="44" customFormat="1" x14ac:dyDescent="0.3">
      <c r="B607" s="23"/>
      <c r="C607" s="40"/>
      <c r="D607" s="40"/>
      <c r="E607" s="41"/>
      <c r="F607" s="41"/>
      <c r="G607" s="41"/>
      <c r="H607" s="42"/>
      <c r="I607" s="42"/>
      <c r="J607" s="42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2"/>
      <c r="X607" s="42"/>
      <c r="Y607" s="42"/>
      <c r="Z607" s="42"/>
      <c r="AA607" s="42"/>
      <c r="AB607" s="42"/>
      <c r="AC607" s="36"/>
      <c r="AD607" s="36"/>
      <c r="AE607" s="36"/>
      <c r="AF607" s="42"/>
      <c r="AG607" s="36"/>
    </row>
    <row r="608" spans="2:33" s="44" customFormat="1" x14ac:dyDescent="0.3">
      <c r="B608" s="23"/>
      <c r="C608" s="40"/>
      <c r="D608" s="40"/>
      <c r="E608" s="41"/>
      <c r="F608" s="41"/>
      <c r="G608" s="41"/>
      <c r="H608" s="42"/>
      <c r="I608" s="42"/>
      <c r="J608" s="42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2"/>
      <c r="X608" s="42"/>
      <c r="Y608" s="42"/>
      <c r="Z608" s="42"/>
      <c r="AA608" s="42"/>
      <c r="AB608" s="42"/>
      <c r="AC608" s="36"/>
      <c r="AD608" s="36"/>
      <c r="AE608" s="36"/>
      <c r="AF608" s="42"/>
      <c r="AG608" s="36"/>
    </row>
    <row r="609" spans="2:33" s="44" customFormat="1" x14ac:dyDescent="0.3">
      <c r="B609" s="23"/>
      <c r="C609" s="40"/>
      <c r="D609" s="40"/>
      <c r="E609" s="41"/>
      <c r="F609" s="41"/>
      <c r="G609" s="41"/>
      <c r="H609" s="42"/>
      <c r="I609" s="42"/>
      <c r="J609" s="42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2"/>
      <c r="X609" s="42"/>
      <c r="Y609" s="42"/>
      <c r="Z609" s="42"/>
      <c r="AA609" s="42"/>
      <c r="AB609" s="42"/>
      <c r="AC609" s="36"/>
      <c r="AD609" s="36"/>
      <c r="AE609" s="36"/>
      <c r="AF609" s="42"/>
      <c r="AG609" s="36"/>
    </row>
    <row r="610" spans="2:33" s="44" customFormat="1" x14ac:dyDescent="0.3">
      <c r="B610" s="23"/>
      <c r="C610" s="40"/>
      <c r="D610" s="40"/>
      <c r="E610" s="41"/>
      <c r="F610" s="41"/>
      <c r="G610" s="41"/>
      <c r="H610" s="42"/>
      <c r="I610" s="42"/>
      <c r="J610" s="42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2"/>
      <c r="X610" s="42"/>
      <c r="Y610" s="42"/>
      <c r="Z610" s="42"/>
      <c r="AA610" s="42"/>
      <c r="AB610" s="42"/>
      <c r="AC610" s="36"/>
      <c r="AD610" s="36"/>
      <c r="AE610" s="36"/>
      <c r="AF610" s="42"/>
      <c r="AG610" s="36"/>
    </row>
    <row r="611" spans="2:33" s="44" customFormat="1" x14ac:dyDescent="0.3">
      <c r="B611" s="23"/>
      <c r="C611" s="40"/>
      <c r="D611" s="40"/>
      <c r="E611" s="41"/>
      <c r="F611" s="41"/>
      <c r="G611" s="41"/>
      <c r="H611" s="42"/>
      <c r="I611" s="42"/>
      <c r="J611" s="42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2"/>
      <c r="X611" s="42"/>
      <c r="Y611" s="42"/>
      <c r="Z611" s="42"/>
      <c r="AA611" s="42"/>
      <c r="AB611" s="42"/>
      <c r="AC611" s="36"/>
      <c r="AD611" s="36"/>
      <c r="AE611" s="36"/>
      <c r="AF611" s="42"/>
      <c r="AG611" s="36"/>
    </row>
    <row r="612" spans="2:33" s="44" customFormat="1" x14ac:dyDescent="0.3">
      <c r="B612" s="23"/>
      <c r="C612" s="40"/>
      <c r="D612" s="40"/>
      <c r="E612" s="41"/>
      <c r="F612" s="41"/>
      <c r="G612" s="41"/>
      <c r="H612" s="42"/>
      <c r="I612" s="42"/>
      <c r="J612" s="42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2"/>
      <c r="X612" s="42"/>
      <c r="Y612" s="42"/>
      <c r="Z612" s="42"/>
      <c r="AA612" s="42"/>
      <c r="AB612" s="42"/>
      <c r="AC612" s="36"/>
      <c r="AD612" s="36"/>
      <c r="AE612" s="36"/>
      <c r="AF612" s="42"/>
      <c r="AG612" s="36"/>
    </row>
    <row r="613" spans="2:33" s="44" customFormat="1" x14ac:dyDescent="0.3">
      <c r="B613" s="23"/>
      <c r="C613" s="40"/>
      <c r="D613" s="40"/>
      <c r="E613" s="41"/>
      <c r="F613" s="41"/>
      <c r="G613" s="41"/>
      <c r="H613" s="42"/>
      <c r="I613" s="42"/>
      <c r="J613" s="42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2"/>
      <c r="X613" s="42"/>
      <c r="Y613" s="42"/>
      <c r="Z613" s="42"/>
      <c r="AA613" s="42"/>
      <c r="AB613" s="42"/>
      <c r="AC613" s="36"/>
      <c r="AD613" s="36"/>
      <c r="AE613" s="36"/>
      <c r="AF613" s="42"/>
      <c r="AG613" s="36"/>
    </row>
    <row r="614" spans="2:33" s="44" customFormat="1" x14ac:dyDescent="0.3">
      <c r="B614" s="23"/>
      <c r="C614" s="40"/>
      <c r="D614" s="40"/>
      <c r="E614" s="41"/>
      <c r="F614" s="41"/>
      <c r="G614" s="41"/>
      <c r="H614" s="42"/>
      <c r="I614" s="42"/>
      <c r="J614" s="42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2"/>
      <c r="X614" s="42"/>
      <c r="Y614" s="42"/>
      <c r="Z614" s="42"/>
      <c r="AA614" s="42"/>
      <c r="AB614" s="42"/>
      <c r="AC614" s="36"/>
      <c r="AD614" s="36"/>
      <c r="AE614" s="36"/>
      <c r="AF614" s="42"/>
      <c r="AG614" s="36"/>
    </row>
    <row r="615" spans="2:33" s="44" customFormat="1" x14ac:dyDescent="0.3">
      <c r="B615" s="23"/>
      <c r="C615" s="40"/>
      <c r="D615" s="40"/>
      <c r="E615" s="41"/>
      <c r="F615" s="41"/>
      <c r="G615" s="41"/>
      <c r="H615" s="42"/>
      <c r="I615" s="42"/>
      <c r="J615" s="42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2"/>
      <c r="X615" s="42"/>
      <c r="Y615" s="42"/>
      <c r="Z615" s="42"/>
      <c r="AA615" s="42"/>
      <c r="AB615" s="42"/>
      <c r="AC615" s="36"/>
      <c r="AD615" s="36"/>
      <c r="AE615" s="36"/>
      <c r="AF615" s="42"/>
      <c r="AG615" s="36"/>
    </row>
    <row r="616" spans="2:33" s="44" customFormat="1" x14ac:dyDescent="0.3">
      <c r="B616" s="23"/>
      <c r="C616" s="40"/>
      <c r="D616" s="40"/>
      <c r="E616" s="41"/>
      <c r="F616" s="41"/>
      <c r="G616" s="41"/>
      <c r="H616" s="42"/>
      <c r="I616" s="42"/>
      <c r="J616" s="42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2"/>
      <c r="X616" s="42"/>
      <c r="Y616" s="42"/>
      <c r="Z616" s="42"/>
      <c r="AA616" s="42"/>
      <c r="AB616" s="42"/>
      <c r="AC616" s="36"/>
      <c r="AD616" s="36"/>
      <c r="AE616" s="36"/>
      <c r="AF616" s="42"/>
      <c r="AG616" s="36"/>
    </row>
    <row r="617" spans="2:33" s="44" customFormat="1" x14ac:dyDescent="0.3">
      <c r="B617" s="23"/>
      <c r="C617" s="40"/>
      <c r="D617" s="40"/>
      <c r="E617" s="41"/>
      <c r="F617" s="41"/>
      <c r="G617" s="41"/>
      <c r="H617" s="42"/>
      <c r="I617" s="42"/>
      <c r="J617" s="42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2"/>
      <c r="X617" s="42"/>
      <c r="Y617" s="42"/>
      <c r="Z617" s="42"/>
      <c r="AA617" s="42"/>
      <c r="AB617" s="42"/>
      <c r="AC617" s="36"/>
      <c r="AD617" s="36"/>
      <c r="AE617" s="36"/>
      <c r="AF617" s="42"/>
      <c r="AG617" s="36"/>
    </row>
    <row r="618" spans="2:33" s="44" customFormat="1" x14ac:dyDescent="0.3">
      <c r="B618" s="23"/>
      <c r="C618" s="40"/>
      <c r="D618" s="40"/>
      <c r="E618" s="41"/>
      <c r="F618" s="41"/>
      <c r="G618" s="41"/>
      <c r="H618" s="42"/>
      <c r="I618" s="42"/>
      <c r="J618" s="42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2"/>
      <c r="X618" s="42"/>
      <c r="Y618" s="42"/>
      <c r="Z618" s="42"/>
      <c r="AA618" s="42"/>
      <c r="AB618" s="42"/>
      <c r="AC618" s="36"/>
      <c r="AD618" s="36"/>
      <c r="AE618" s="36"/>
      <c r="AF618" s="42"/>
      <c r="AG618" s="36"/>
    </row>
    <row r="619" spans="2:33" s="44" customFormat="1" x14ac:dyDescent="0.3">
      <c r="B619" s="23"/>
      <c r="C619" s="40"/>
      <c r="D619" s="40"/>
      <c r="E619" s="41"/>
      <c r="F619" s="41"/>
      <c r="G619" s="41"/>
      <c r="H619" s="42"/>
      <c r="I619" s="42"/>
      <c r="J619" s="42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2"/>
      <c r="X619" s="42"/>
      <c r="Y619" s="42"/>
      <c r="Z619" s="42"/>
      <c r="AA619" s="42"/>
      <c r="AB619" s="42"/>
      <c r="AC619" s="36"/>
      <c r="AD619" s="36"/>
      <c r="AE619" s="36"/>
      <c r="AF619" s="42"/>
      <c r="AG619" s="36"/>
    </row>
    <row r="620" spans="2:33" s="44" customFormat="1" x14ac:dyDescent="0.3">
      <c r="B620" s="23"/>
      <c r="C620" s="40"/>
      <c r="D620" s="40"/>
      <c r="E620" s="41"/>
      <c r="F620" s="41"/>
      <c r="G620" s="41"/>
      <c r="H620" s="42"/>
      <c r="I620" s="42"/>
      <c r="J620" s="42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2"/>
      <c r="X620" s="42"/>
      <c r="Y620" s="42"/>
      <c r="Z620" s="42"/>
      <c r="AA620" s="42"/>
      <c r="AB620" s="42"/>
      <c r="AC620" s="36"/>
      <c r="AD620" s="36"/>
      <c r="AE620" s="36"/>
      <c r="AF620" s="42"/>
      <c r="AG620" s="36"/>
    </row>
    <row r="621" spans="2:33" s="44" customFormat="1" x14ac:dyDescent="0.3">
      <c r="B621" s="23"/>
      <c r="C621" s="40"/>
      <c r="D621" s="40"/>
      <c r="E621" s="41"/>
      <c r="F621" s="41"/>
      <c r="G621" s="41"/>
      <c r="H621" s="42"/>
      <c r="I621" s="42"/>
      <c r="J621" s="42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2"/>
      <c r="X621" s="42"/>
      <c r="Y621" s="42"/>
      <c r="Z621" s="42"/>
      <c r="AA621" s="42"/>
      <c r="AB621" s="42"/>
      <c r="AC621" s="36"/>
      <c r="AD621" s="36"/>
      <c r="AE621" s="36"/>
      <c r="AF621" s="42"/>
      <c r="AG621" s="36"/>
    </row>
    <row r="622" spans="2:33" s="44" customFormat="1" x14ac:dyDescent="0.3">
      <c r="B622" s="23"/>
      <c r="C622" s="40"/>
      <c r="D622" s="40"/>
      <c r="E622" s="41"/>
      <c r="F622" s="41"/>
      <c r="G622" s="41"/>
      <c r="H622" s="42"/>
      <c r="I622" s="42"/>
      <c r="J622" s="42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2"/>
      <c r="X622" s="42"/>
      <c r="Y622" s="42"/>
      <c r="Z622" s="42"/>
      <c r="AA622" s="42"/>
      <c r="AB622" s="42"/>
      <c r="AC622" s="36"/>
      <c r="AD622" s="36"/>
      <c r="AE622" s="36"/>
      <c r="AF622" s="42"/>
      <c r="AG622" s="36"/>
    </row>
    <row r="623" spans="2:33" s="44" customFormat="1" x14ac:dyDescent="0.3">
      <c r="B623" s="23"/>
      <c r="C623" s="40"/>
      <c r="D623" s="40"/>
      <c r="E623" s="41"/>
      <c r="F623" s="41"/>
      <c r="G623" s="41"/>
      <c r="H623" s="42"/>
      <c r="I623" s="42"/>
      <c r="J623" s="42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2"/>
      <c r="X623" s="42"/>
      <c r="Y623" s="42"/>
      <c r="Z623" s="42"/>
      <c r="AA623" s="42"/>
      <c r="AB623" s="42"/>
      <c r="AC623" s="36"/>
      <c r="AD623" s="36"/>
      <c r="AE623" s="36"/>
      <c r="AF623" s="42"/>
      <c r="AG623" s="36"/>
    </row>
    <row r="624" spans="2:33" s="44" customFormat="1" x14ac:dyDescent="0.3">
      <c r="B624" s="23"/>
      <c r="C624" s="40"/>
      <c r="D624" s="40"/>
      <c r="E624" s="41"/>
      <c r="F624" s="41"/>
      <c r="G624" s="41"/>
      <c r="H624" s="42"/>
      <c r="I624" s="42"/>
      <c r="J624" s="42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2"/>
      <c r="X624" s="42"/>
      <c r="Y624" s="42"/>
      <c r="Z624" s="42"/>
      <c r="AA624" s="42"/>
      <c r="AB624" s="42"/>
      <c r="AC624" s="36"/>
      <c r="AD624" s="36"/>
      <c r="AE624" s="36"/>
      <c r="AF624" s="42"/>
      <c r="AG624" s="36"/>
    </row>
    <row r="625" spans="2:33" s="44" customFormat="1" x14ac:dyDescent="0.3">
      <c r="B625" s="23"/>
      <c r="C625" s="40"/>
      <c r="D625" s="40"/>
      <c r="E625" s="41"/>
      <c r="F625" s="41"/>
      <c r="G625" s="41"/>
      <c r="H625" s="42"/>
      <c r="I625" s="42"/>
      <c r="J625" s="42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2"/>
      <c r="X625" s="42"/>
      <c r="Y625" s="42"/>
      <c r="Z625" s="42"/>
      <c r="AA625" s="42"/>
      <c r="AB625" s="42"/>
      <c r="AC625" s="36"/>
      <c r="AD625" s="36"/>
      <c r="AE625" s="36"/>
      <c r="AF625" s="42"/>
      <c r="AG625" s="36"/>
    </row>
    <row r="626" spans="2:33" s="44" customFormat="1" x14ac:dyDescent="0.3">
      <c r="B626" s="23"/>
      <c r="C626" s="40"/>
      <c r="D626" s="40"/>
      <c r="E626" s="41"/>
      <c r="F626" s="41"/>
      <c r="G626" s="41"/>
      <c r="H626" s="42"/>
      <c r="I626" s="42"/>
      <c r="J626" s="42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2"/>
      <c r="X626" s="42"/>
      <c r="Y626" s="42"/>
      <c r="Z626" s="42"/>
      <c r="AA626" s="42"/>
      <c r="AB626" s="42"/>
      <c r="AC626" s="36"/>
      <c r="AD626" s="36"/>
      <c r="AE626" s="36"/>
      <c r="AF626" s="42"/>
      <c r="AG626" s="36"/>
    </row>
    <row r="627" spans="2:33" s="44" customFormat="1" x14ac:dyDescent="0.3">
      <c r="B627" s="23"/>
      <c r="C627" s="40"/>
      <c r="D627" s="40"/>
      <c r="E627" s="41"/>
      <c r="F627" s="41"/>
      <c r="G627" s="41"/>
      <c r="H627" s="42"/>
      <c r="I627" s="42"/>
      <c r="J627" s="42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2"/>
      <c r="X627" s="42"/>
      <c r="Y627" s="42"/>
      <c r="Z627" s="42"/>
      <c r="AA627" s="42"/>
      <c r="AB627" s="42"/>
      <c r="AC627" s="36"/>
      <c r="AD627" s="36"/>
      <c r="AE627" s="36"/>
      <c r="AF627" s="42"/>
      <c r="AG627" s="36"/>
    </row>
    <row r="628" spans="2:33" s="44" customFormat="1" x14ac:dyDescent="0.3">
      <c r="B628" s="23"/>
      <c r="C628" s="40"/>
      <c r="D628" s="40"/>
      <c r="E628" s="41"/>
      <c r="F628" s="41"/>
      <c r="G628" s="41"/>
      <c r="H628" s="42"/>
      <c r="I628" s="42"/>
      <c r="J628" s="42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2"/>
      <c r="X628" s="42"/>
      <c r="Y628" s="42"/>
      <c r="Z628" s="42"/>
      <c r="AA628" s="42"/>
      <c r="AB628" s="42"/>
      <c r="AC628" s="36"/>
      <c r="AD628" s="36"/>
      <c r="AE628" s="36"/>
      <c r="AF628" s="42"/>
      <c r="AG628" s="36"/>
    </row>
    <row r="629" spans="2:33" s="44" customFormat="1" x14ac:dyDescent="0.3">
      <c r="B629" s="23"/>
      <c r="C629" s="40"/>
      <c r="D629" s="40"/>
      <c r="E629" s="41"/>
      <c r="F629" s="41"/>
      <c r="G629" s="41"/>
      <c r="H629" s="42"/>
      <c r="I629" s="42"/>
      <c r="J629" s="42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2"/>
      <c r="X629" s="42"/>
      <c r="Y629" s="42"/>
      <c r="Z629" s="42"/>
      <c r="AA629" s="42"/>
      <c r="AB629" s="42"/>
      <c r="AC629" s="36"/>
      <c r="AD629" s="36"/>
      <c r="AE629" s="36"/>
      <c r="AF629" s="42"/>
      <c r="AG629" s="36"/>
    </row>
    <row r="630" spans="2:33" s="44" customFormat="1" x14ac:dyDescent="0.3">
      <c r="B630" s="23"/>
      <c r="C630" s="40"/>
      <c r="D630" s="40"/>
      <c r="E630" s="41"/>
      <c r="F630" s="41"/>
      <c r="G630" s="41"/>
      <c r="H630" s="42"/>
      <c r="I630" s="42"/>
      <c r="J630" s="42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2"/>
      <c r="X630" s="42"/>
      <c r="Y630" s="42"/>
      <c r="Z630" s="42"/>
      <c r="AA630" s="42"/>
      <c r="AB630" s="42"/>
      <c r="AC630" s="36"/>
      <c r="AD630" s="36"/>
      <c r="AE630" s="36"/>
      <c r="AF630" s="42"/>
      <c r="AG630" s="36"/>
    </row>
    <row r="631" spans="2:33" s="44" customFormat="1" x14ac:dyDescent="0.3">
      <c r="B631" s="23"/>
      <c r="C631" s="40"/>
      <c r="D631" s="40"/>
      <c r="E631" s="41"/>
      <c r="F631" s="41"/>
      <c r="G631" s="41"/>
      <c r="H631" s="42"/>
      <c r="I631" s="42"/>
      <c r="J631" s="42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2"/>
      <c r="X631" s="42"/>
      <c r="Y631" s="42"/>
      <c r="Z631" s="42"/>
      <c r="AA631" s="42"/>
      <c r="AB631" s="42"/>
      <c r="AC631" s="36"/>
      <c r="AD631" s="36"/>
      <c r="AE631" s="36"/>
      <c r="AF631" s="42"/>
      <c r="AG631" s="36"/>
    </row>
    <row r="632" spans="2:33" s="44" customFormat="1" x14ac:dyDescent="0.3">
      <c r="B632" s="23"/>
      <c r="C632" s="40"/>
      <c r="D632" s="40"/>
      <c r="E632" s="41"/>
      <c r="F632" s="41"/>
      <c r="G632" s="41"/>
      <c r="H632" s="42"/>
      <c r="I632" s="42"/>
      <c r="J632" s="42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2"/>
      <c r="X632" s="42"/>
      <c r="Y632" s="42"/>
      <c r="Z632" s="42"/>
      <c r="AA632" s="42"/>
      <c r="AB632" s="42"/>
      <c r="AC632" s="36"/>
      <c r="AD632" s="36"/>
      <c r="AE632" s="36"/>
      <c r="AF632" s="42"/>
      <c r="AG632" s="36"/>
    </row>
    <row r="633" spans="2:33" s="44" customFormat="1" x14ac:dyDescent="0.3">
      <c r="B633" s="23"/>
      <c r="C633" s="40"/>
      <c r="D633" s="40"/>
      <c r="E633" s="41"/>
      <c r="F633" s="41"/>
      <c r="G633" s="41"/>
      <c r="H633" s="42"/>
      <c r="I633" s="42"/>
      <c r="J633" s="42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2"/>
      <c r="X633" s="42"/>
      <c r="Y633" s="42"/>
      <c r="Z633" s="42"/>
      <c r="AA633" s="42"/>
      <c r="AB633" s="42"/>
      <c r="AC633" s="36"/>
      <c r="AD633" s="36"/>
      <c r="AE633" s="36"/>
      <c r="AF633" s="42"/>
      <c r="AG633" s="36"/>
    </row>
    <row r="634" spans="2:33" s="44" customFormat="1" x14ac:dyDescent="0.3">
      <c r="B634" s="23"/>
      <c r="C634" s="40"/>
      <c r="D634" s="40"/>
      <c r="E634" s="41"/>
      <c r="F634" s="41"/>
      <c r="G634" s="41"/>
      <c r="H634" s="42"/>
      <c r="I634" s="42"/>
      <c r="J634" s="42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2"/>
      <c r="X634" s="42"/>
      <c r="Y634" s="42"/>
      <c r="Z634" s="42"/>
      <c r="AA634" s="42"/>
      <c r="AB634" s="42"/>
      <c r="AC634" s="36"/>
      <c r="AD634" s="36"/>
      <c r="AE634" s="36"/>
      <c r="AF634" s="42"/>
      <c r="AG634" s="36"/>
    </row>
    <row r="635" spans="2:33" s="44" customFormat="1" x14ac:dyDescent="0.3">
      <c r="B635" s="23"/>
      <c r="C635" s="40"/>
      <c r="D635" s="40"/>
      <c r="E635" s="41"/>
      <c r="F635" s="41"/>
      <c r="G635" s="41"/>
      <c r="H635" s="42"/>
      <c r="I635" s="42"/>
      <c r="J635" s="42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2"/>
      <c r="X635" s="42"/>
      <c r="Y635" s="42"/>
      <c r="Z635" s="42"/>
      <c r="AA635" s="42"/>
      <c r="AB635" s="42"/>
      <c r="AC635" s="36"/>
      <c r="AD635" s="36"/>
      <c r="AE635" s="36"/>
      <c r="AF635" s="42"/>
      <c r="AG635" s="36"/>
    </row>
    <row r="636" spans="2:33" s="44" customFormat="1" x14ac:dyDescent="0.3">
      <c r="B636" s="23"/>
      <c r="C636" s="40"/>
      <c r="D636" s="40"/>
      <c r="E636" s="41"/>
      <c r="F636" s="41"/>
      <c r="G636" s="41"/>
      <c r="H636" s="42"/>
      <c r="I636" s="42"/>
      <c r="J636" s="42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2"/>
      <c r="X636" s="42"/>
      <c r="Y636" s="42"/>
      <c r="Z636" s="42"/>
      <c r="AA636" s="42"/>
      <c r="AB636" s="42"/>
      <c r="AC636" s="36"/>
      <c r="AD636" s="36"/>
      <c r="AE636" s="36"/>
      <c r="AF636" s="42"/>
      <c r="AG636" s="36"/>
    </row>
    <row r="637" spans="2:33" s="44" customFormat="1" x14ac:dyDescent="0.3">
      <c r="B637" s="23"/>
      <c r="C637" s="40"/>
      <c r="D637" s="40"/>
      <c r="E637" s="41"/>
      <c r="F637" s="41"/>
      <c r="G637" s="41"/>
      <c r="H637" s="42"/>
      <c r="I637" s="42"/>
      <c r="J637" s="42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2"/>
      <c r="X637" s="42"/>
      <c r="Y637" s="42"/>
      <c r="Z637" s="42"/>
      <c r="AA637" s="42"/>
      <c r="AB637" s="42"/>
      <c r="AC637" s="36"/>
      <c r="AD637" s="36"/>
      <c r="AE637" s="36"/>
      <c r="AF637" s="42"/>
      <c r="AG637" s="36"/>
    </row>
    <row r="638" spans="2:33" s="44" customFormat="1" x14ac:dyDescent="0.3">
      <c r="B638" s="23"/>
      <c r="C638" s="40"/>
      <c r="D638" s="40"/>
      <c r="E638" s="41"/>
      <c r="F638" s="41"/>
      <c r="G638" s="41"/>
      <c r="H638" s="42"/>
      <c r="I638" s="42"/>
      <c r="J638" s="42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2"/>
      <c r="X638" s="42"/>
      <c r="Y638" s="42"/>
      <c r="Z638" s="42"/>
      <c r="AA638" s="42"/>
      <c r="AB638" s="42"/>
      <c r="AC638" s="36"/>
      <c r="AD638" s="36"/>
      <c r="AE638" s="36"/>
      <c r="AF638" s="42"/>
      <c r="AG638" s="36"/>
    </row>
    <row r="639" spans="2:33" s="44" customFormat="1" x14ac:dyDescent="0.3">
      <c r="B639" s="23"/>
      <c r="C639" s="40"/>
      <c r="D639" s="40"/>
      <c r="E639" s="41"/>
      <c r="F639" s="41"/>
      <c r="G639" s="41"/>
      <c r="H639" s="42"/>
      <c r="I639" s="42"/>
      <c r="J639" s="42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2"/>
      <c r="X639" s="42"/>
      <c r="Y639" s="42"/>
      <c r="Z639" s="42"/>
      <c r="AA639" s="42"/>
      <c r="AB639" s="42"/>
      <c r="AC639" s="36"/>
      <c r="AD639" s="36"/>
      <c r="AE639" s="36"/>
      <c r="AF639" s="42"/>
      <c r="AG639" s="36"/>
    </row>
    <row r="640" spans="2:33" s="44" customFormat="1" x14ac:dyDescent="0.3">
      <c r="B640" s="23"/>
      <c r="C640" s="40"/>
      <c r="D640" s="40"/>
      <c r="E640" s="41"/>
      <c r="F640" s="41"/>
      <c r="G640" s="41"/>
      <c r="H640" s="42"/>
      <c r="I640" s="42"/>
      <c r="J640" s="42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2"/>
      <c r="X640" s="42"/>
      <c r="Y640" s="42"/>
      <c r="Z640" s="42"/>
      <c r="AA640" s="42"/>
      <c r="AB640" s="42"/>
      <c r="AC640" s="36"/>
      <c r="AD640" s="36"/>
      <c r="AE640" s="36"/>
      <c r="AF640" s="42"/>
      <c r="AG640" s="36"/>
    </row>
    <row r="641" spans="2:33" s="44" customFormat="1" x14ac:dyDescent="0.3">
      <c r="B641" s="23"/>
      <c r="C641" s="40"/>
      <c r="D641" s="40"/>
      <c r="E641" s="41"/>
      <c r="F641" s="41"/>
      <c r="G641" s="41"/>
      <c r="H641" s="42"/>
      <c r="I641" s="42"/>
      <c r="J641" s="42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2"/>
      <c r="X641" s="42"/>
      <c r="Y641" s="42"/>
      <c r="Z641" s="42"/>
      <c r="AA641" s="42"/>
      <c r="AB641" s="42"/>
      <c r="AC641" s="36"/>
      <c r="AD641" s="36"/>
      <c r="AE641" s="36"/>
      <c r="AF641" s="42"/>
      <c r="AG641" s="36"/>
    </row>
    <row r="642" spans="2:33" s="44" customFormat="1" x14ac:dyDescent="0.3">
      <c r="B642" s="23"/>
      <c r="C642" s="40"/>
      <c r="D642" s="40"/>
      <c r="E642" s="41"/>
      <c r="F642" s="41"/>
      <c r="G642" s="41"/>
      <c r="H642" s="42"/>
      <c r="I642" s="42"/>
      <c r="J642" s="42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2"/>
      <c r="X642" s="42"/>
      <c r="Y642" s="42"/>
      <c r="Z642" s="42"/>
      <c r="AA642" s="42"/>
      <c r="AB642" s="42"/>
      <c r="AC642" s="36"/>
      <c r="AD642" s="36"/>
      <c r="AE642" s="36"/>
      <c r="AF642" s="42"/>
      <c r="AG642" s="36"/>
    </row>
    <row r="643" spans="2:33" s="44" customFormat="1" x14ac:dyDescent="0.3">
      <c r="B643" s="23"/>
      <c r="C643" s="40"/>
      <c r="D643" s="40"/>
      <c r="E643" s="41"/>
      <c r="F643" s="41"/>
      <c r="G643" s="41"/>
      <c r="H643" s="42"/>
      <c r="I643" s="42"/>
      <c r="J643" s="42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2"/>
      <c r="X643" s="42"/>
      <c r="Y643" s="42"/>
      <c r="Z643" s="42"/>
      <c r="AA643" s="42"/>
      <c r="AB643" s="42"/>
      <c r="AC643" s="36"/>
      <c r="AD643" s="36"/>
      <c r="AE643" s="36"/>
      <c r="AF643" s="42"/>
      <c r="AG643" s="36"/>
    </row>
    <row r="644" spans="2:33" s="44" customFormat="1" x14ac:dyDescent="0.3">
      <c r="B644" s="23"/>
      <c r="C644" s="40"/>
      <c r="D644" s="40"/>
      <c r="E644" s="41"/>
      <c r="F644" s="41"/>
      <c r="G644" s="41"/>
      <c r="H644" s="42"/>
      <c r="I644" s="42"/>
      <c r="J644" s="42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2"/>
      <c r="X644" s="42"/>
      <c r="Y644" s="42"/>
      <c r="Z644" s="42"/>
      <c r="AA644" s="42"/>
      <c r="AB644" s="42"/>
      <c r="AC644" s="36"/>
      <c r="AD644" s="36"/>
      <c r="AE644" s="36"/>
      <c r="AF644" s="42"/>
      <c r="AG644" s="36"/>
    </row>
    <row r="645" spans="2:33" s="44" customFormat="1" x14ac:dyDescent="0.3">
      <c r="B645" s="23"/>
      <c r="C645" s="40"/>
      <c r="D645" s="40"/>
      <c r="E645" s="41"/>
      <c r="F645" s="41"/>
      <c r="G645" s="41"/>
      <c r="H645" s="42"/>
      <c r="I645" s="42"/>
      <c r="J645" s="42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2"/>
      <c r="X645" s="42"/>
      <c r="Y645" s="42"/>
      <c r="Z645" s="42"/>
      <c r="AA645" s="42"/>
      <c r="AB645" s="42"/>
      <c r="AC645" s="36"/>
      <c r="AD645" s="36"/>
      <c r="AE645" s="36"/>
      <c r="AF645" s="42"/>
      <c r="AG645" s="36"/>
    </row>
    <row r="646" spans="2:33" s="44" customFormat="1" x14ac:dyDescent="0.3">
      <c r="B646" s="23"/>
      <c r="C646" s="40"/>
      <c r="D646" s="40"/>
      <c r="E646" s="41"/>
      <c r="F646" s="41"/>
      <c r="G646" s="41"/>
      <c r="H646" s="42"/>
      <c r="I646" s="42"/>
      <c r="J646" s="42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2"/>
      <c r="X646" s="42"/>
      <c r="Y646" s="42"/>
      <c r="Z646" s="42"/>
      <c r="AA646" s="42"/>
      <c r="AB646" s="42"/>
      <c r="AC646" s="36"/>
      <c r="AD646" s="36"/>
      <c r="AE646" s="36"/>
      <c r="AF646" s="42"/>
      <c r="AG646" s="36"/>
    </row>
    <row r="647" spans="2:33" s="44" customFormat="1" x14ac:dyDescent="0.3">
      <c r="B647" s="23"/>
      <c r="C647" s="40"/>
      <c r="D647" s="40"/>
      <c r="E647" s="41"/>
      <c r="F647" s="41"/>
      <c r="G647" s="41"/>
      <c r="H647" s="42"/>
      <c r="I647" s="42"/>
      <c r="J647" s="42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2"/>
      <c r="X647" s="42"/>
      <c r="Y647" s="42"/>
      <c r="Z647" s="42"/>
      <c r="AA647" s="42"/>
      <c r="AB647" s="42"/>
      <c r="AC647" s="36"/>
      <c r="AD647" s="36"/>
      <c r="AE647" s="36"/>
      <c r="AF647" s="42"/>
      <c r="AG647" s="36"/>
    </row>
    <row r="648" spans="2:33" s="44" customFormat="1" x14ac:dyDescent="0.3">
      <c r="B648" s="23"/>
      <c r="C648" s="40"/>
      <c r="D648" s="40"/>
      <c r="E648" s="41"/>
      <c r="F648" s="41"/>
      <c r="G648" s="41"/>
      <c r="H648" s="42"/>
      <c r="I648" s="42"/>
      <c r="J648" s="42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2"/>
      <c r="X648" s="42"/>
      <c r="Y648" s="42"/>
      <c r="Z648" s="42"/>
      <c r="AA648" s="42"/>
      <c r="AB648" s="42"/>
      <c r="AC648" s="36"/>
      <c r="AD648" s="36"/>
      <c r="AE648" s="36"/>
      <c r="AF648" s="42"/>
      <c r="AG648" s="36"/>
    </row>
    <row r="649" spans="2:33" s="44" customFormat="1" x14ac:dyDescent="0.3">
      <c r="B649" s="23"/>
      <c r="C649" s="40"/>
      <c r="D649" s="40"/>
      <c r="E649" s="41"/>
      <c r="F649" s="41"/>
      <c r="G649" s="41"/>
      <c r="H649" s="42"/>
      <c r="I649" s="42"/>
      <c r="J649" s="42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2"/>
      <c r="X649" s="42"/>
      <c r="Y649" s="42"/>
      <c r="Z649" s="42"/>
      <c r="AA649" s="42"/>
      <c r="AB649" s="42"/>
      <c r="AC649" s="36"/>
      <c r="AD649" s="36"/>
      <c r="AE649" s="36"/>
      <c r="AF649" s="42"/>
      <c r="AG649" s="36"/>
    </row>
    <row r="650" spans="2:33" s="44" customFormat="1" x14ac:dyDescent="0.3">
      <c r="B650" s="23"/>
      <c r="C650" s="40"/>
      <c r="D650" s="40"/>
      <c r="E650" s="41"/>
      <c r="F650" s="41"/>
      <c r="G650" s="41"/>
      <c r="H650" s="42"/>
      <c r="I650" s="42"/>
      <c r="J650" s="42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2"/>
      <c r="X650" s="42"/>
      <c r="Y650" s="42"/>
      <c r="Z650" s="42"/>
      <c r="AA650" s="42"/>
      <c r="AB650" s="42"/>
      <c r="AC650" s="36"/>
      <c r="AD650" s="36"/>
      <c r="AE650" s="36"/>
      <c r="AF650" s="42"/>
      <c r="AG650" s="36"/>
    </row>
    <row r="651" spans="2:33" s="44" customFormat="1" x14ac:dyDescent="0.3">
      <c r="B651" s="23"/>
      <c r="C651" s="40"/>
      <c r="D651" s="40"/>
      <c r="E651" s="41"/>
      <c r="F651" s="41"/>
      <c r="G651" s="41"/>
      <c r="H651" s="42"/>
      <c r="I651" s="42"/>
      <c r="J651" s="42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2"/>
      <c r="X651" s="42"/>
      <c r="Y651" s="42"/>
      <c r="Z651" s="42"/>
      <c r="AA651" s="42"/>
      <c r="AB651" s="42"/>
      <c r="AC651" s="36"/>
      <c r="AD651" s="36"/>
      <c r="AE651" s="36"/>
      <c r="AF651" s="42"/>
      <c r="AG651" s="36"/>
    </row>
    <row r="652" spans="2:33" s="44" customFormat="1" x14ac:dyDescent="0.3">
      <c r="B652" s="23"/>
      <c r="C652" s="40"/>
      <c r="D652" s="40"/>
      <c r="E652" s="41"/>
      <c r="F652" s="41"/>
      <c r="G652" s="41"/>
      <c r="H652" s="42"/>
      <c r="I652" s="42"/>
      <c r="J652" s="42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2"/>
      <c r="X652" s="42"/>
      <c r="Y652" s="42"/>
      <c r="Z652" s="42"/>
      <c r="AA652" s="42"/>
      <c r="AB652" s="42"/>
      <c r="AC652" s="36"/>
      <c r="AD652" s="36"/>
      <c r="AE652" s="36"/>
      <c r="AF652" s="42"/>
      <c r="AG652" s="36"/>
    </row>
    <row r="653" spans="2:33" s="44" customFormat="1" x14ac:dyDescent="0.3">
      <c r="B653" s="23"/>
      <c r="C653" s="40"/>
      <c r="D653" s="40"/>
      <c r="E653" s="41"/>
      <c r="F653" s="41"/>
      <c r="G653" s="41"/>
      <c r="H653" s="42"/>
      <c r="I653" s="42"/>
      <c r="J653" s="42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2"/>
      <c r="X653" s="42"/>
      <c r="Y653" s="42"/>
      <c r="Z653" s="42"/>
      <c r="AA653" s="42"/>
      <c r="AB653" s="42"/>
      <c r="AC653" s="36"/>
      <c r="AD653" s="36"/>
      <c r="AE653" s="36"/>
      <c r="AF653" s="42"/>
      <c r="AG653" s="36"/>
    </row>
    <row r="654" spans="2:33" s="44" customFormat="1" x14ac:dyDescent="0.3">
      <c r="B654" s="23"/>
      <c r="C654" s="40"/>
      <c r="D654" s="40"/>
      <c r="E654" s="41"/>
      <c r="F654" s="41"/>
      <c r="G654" s="41"/>
      <c r="H654" s="42"/>
      <c r="I654" s="42"/>
      <c r="J654" s="42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2"/>
      <c r="X654" s="42"/>
      <c r="Y654" s="42"/>
      <c r="Z654" s="42"/>
      <c r="AA654" s="42"/>
      <c r="AB654" s="42"/>
      <c r="AC654" s="36"/>
      <c r="AD654" s="36"/>
      <c r="AE654" s="36"/>
      <c r="AF654" s="42"/>
      <c r="AG654" s="36"/>
    </row>
    <row r="655" spans="2:33" s="44" customFormat="1" x14ac:dyDescent="0.3">
      <c r="B655" s="23"/>
      <c r="C655" s="40"/>
      <c r="D655" s="40"/>
      <c r="E655" s="41"/>
      <c r="F655" s="41"/>
      <c r="G655" s="41"/>
      <c r="H655" s="42"/>
      <c r="I655" s="42"/>
      <c r="J655" s="42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2"/>
      <c r="X655" s="42"/>
      <c r="Y655" s="42"/>
      <c r="Z655" s="42"/>
      <c r="AA655" s="42"/>
      <c r="AB655" s="42"/>
      <c r="AC655" s="36"/>
      <c r="AD655" s="36"/>
      <c r="AE655" s="36"/>
      <c r="AF655" s="42"/>
      <c r="AG655" s="36"/>
    </row>
    <row r="656" spans="2:33" s="44" customFormat="1" x14ac:dyDescent="0.3">
      <c r="B656" s="23"/>
      <c r="C656" s="40"/>
      <c r="D656" s="40"/>
      <c r="E656" s="41"/>
      <c r="F656" s="41"/>
      <c r="G656" s="41"/>
      <c r="H656" s="42"/>
      <c r="I656" s="42"/>
      <c r="J656" s="42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2"/>
      <c r="X656" s="42"/>
      <c r="Y656" s="42"/>
      <c r="Z656" s="42"/>
      <c r="AA656" s="42"/>
      <c r="AB656" s="42"/>
      <c r="AC656" s="36"/>
      <c r="AD656" s="36"/>
      <c r="AE656" s="36"/>
      <c r="AF656" s="42"/>
      <c r="AG656" s="36"/>
    </row>
    <row r="657" spans="2:33" s="44" customFormat="1" x14ac:dyDescent="0.3">
      <c r="B657" s="23"/>
      <c r="C657" s="40"/>
      <c r="D657" s="40"/>
      <c r="E657" s="41"/>
      <c r="F657" s="41"/>
      <c r="G657" s="41"/>
      <c r="H657" s="42"/>
      <c r="I657" s="42"/>
      <c r="J657" s="42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2"/>
      <c r="X657" s="42"/>
      <c r="Y657" s="42"/>
      <c r="Z657" s="42"/>
      <c r="AA657" s="42"/>
      <c r="AB657" s="42"/>
      <c r="AC657" s="36"/>
      <c r="AD657" s="36"/>
      <c r="AE657" s="36"/>
      <c r="AF657" s="42"/>
      <c r="AG657" s="36"/>
    </row>
    <row r="658" spans="2:33" s="44" customFormat="1" x14ac:dyDescent="0.3">
      <c r="B658" s="23"/>
      <c r="C658" s="40"/>
      <c r="D658" s="40"/>
      <c r="E658" s="41"/>
      <c r="F658" s="41"/>
      <c r="G658" s="41"/>
      <c r="H658" s="42"/>
      <c r="I658" s="42"/>
      <c r="J658" s="42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2"/>
      <c r="X658" s="42"/>
      <c r="Y658" s="42"/>
      <c r="Z658" s="42"/>
      <c r="AA658" s="42"/>
      <c r="AB658" s="42"/>
      <c r="AC658" s="36"/>
      <c r="AD658" s="36"/>
      <c r="AE658" s="36"/>
      <c r="AF658" s="42"/>
      <c r="AG658" s="36"/>
    </row>
    <row r="659" spans="2:33" s="44" customFormat="1" x14ac:dyDescent="0.3">
      <c r="B659" s="23"/>
      <c r="C659" s="40"/>
      <c r="D659" s="40"/>
      <c r="E659" s="41"/>
      <c r="F659" s="41"/>
      <c r="G659" s="41"/>
      <c r="H659" s="42"/>
      <c r="I659" s="42"/>
      <c r="J659" s="42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2"/>
      <c r="X659" s="42"/>
      <c r="Y659" s="42"/>
      <c r="Z659" s="42"/>
      <c r="AA659" s="42"/>
      <c r="AB659" s="42"/>
      <c r="AC659" s="36"/>
      <c r="AD659" s="36"/>
      <c r="AE659" s="36"/>
      <c r="AF659" s="42"/>
      <c r="AG659" s="36"/>
    </row>
    <row r="660" spans="2:33" s="44" customFormat="1" x14ac:dyDescent="0.3">
      <c r="B660" s="23"/>
      <c r="C660" s="40"/>
      <c r="D660" s="40"/>
      <c r="E660" s="41"/>
      <c r="F660" s="41"/>
      <c r="G660" s="41"/>
      <c r="H660" s="42"/>
      <c r="I660" s="42"/>
      <c r="J660" s="42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2"/>
      <c r="X660" s="42"/>
      <c r="Y660" s="42"/>
      <c r="Z660" s="42"/>
      <c r="AA660" s="42"/>
      <c r="AB660" s="42"/>
      <c r="AC660" s="36"/>
      <c r="AD660" s="36"/>
      <c r="AE660" s="36"/>
      <c r="AF660" s="42"/>
      <c r="AG660" s="36"/>
    </row>
    <row r="661" spans="2:33" s="44" customFormat="1" x14ac:dyDescent="0.3">
      <c r="B661" s="23"/>
      <c r="C661" s="40"/>
      <c r="D661" s="40"/>
      <c r="E661" s="41"/>
      <c r="F661" s="41"/>
      <c r="G661" s="41"/>
      <c r="H661" s="42"/>
      <c r="I661" s="42"/>
      <c r="J661" s="42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2"/>
      <c r="X661" s="42"/>
      <c r="Y661" s="42"/>
      <c r="Z661" s="42"/>
      <c r="AA661" s="42"/>
      <c r="AB661" s="42"/>
      <c r="AC661" s="36"/>
      <c r="AD661" s="36"/>
      <c r="AE661" s="36"/>
      <c r="AF661" s="42"/>
      <c r="AG661" s="36"/>
    </row>
    <row r="662" spans="2:33" s="44" customFormat="1" x14ac:dyDescent="0.3">
      <c r="B662" s="23"/>
      <c r="C662" s="40"/>
      <c r="D662" s="40"/>
      <c r="E662" s="41"/>
      <c r="F662" s="41"/>
      <c r="G662" s="41"/>
      <c r="H662" s="42"/>
      <c r="I662" s="42"/>
      <c r="J662" s="42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2"/>
      <c r="X662" s="42"/>
      <c r="Y662" s="42"/>
      <c r="Z662" s="42"/>
      <c r="AA662" s="42"/>
      <c r="AB662" s="42"/>
      <c r="AC662" s="36"/>
      <c r="AD662" s="36"/>
      <c r="AE662" s="36"/>
      <c r="AF662" s="42"/>
      <c r="AG662" s="36"/>
    </row>
    <row r="663" spans="2:33" s="44" customFormat="1" x14ac:dyDescent="0.3">
      <c r="B663" s="23"/>
      <c r="C663" s="40"/>
      <c r="D663" s="40"/>
      <c r="E663" s="41"/>
      <c r="F663" s="41"/>
      <c r="G663" s="41"/>
      <c r="H663" s="42"/>
      <c r="I663" s="42"/>
      <c r="J663" s="42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2"/>
      <c r="X663" s="42"/>
      <c r="Y663" s="42"/>
      <c r="Z663" s="42"/>
      <c r="AA663" s="42"/>
      <c r="AB663" s="42"/>
      <c r="AC663" s="36"/>
      <c r="AD663" s="36"/>
      <c r="AE663" s="36"/>
      <c r="AF663" s="42"/>
      <c r="AG663" s="36"/>
    </row>
    <row r="664" spans="2:33" s="44" customFormat="1" x14ac:dyDescent="0.3">
      <c r="B664" s="23"/>
      <c r="C664" s="40"/>
      <c r="D664" s="40"/>
      <c r="E664" s="41"/>
      <c r="F664" s="41"/>
      <c r="G664" s="41"/>
      <c r="H664" s="42"/>
      <c r="I664" s="42"/>
      <c r="J664" s="42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2"/>
      <c r="X664" s="42"/>
      <c r="Y664" s="42"/>
      <c r="Z664" s="42"/>
      <c r="AA664" s="42"/>
      <c r="AB664" s="42"/>
      <c r="AC664" s="36"/>
      <c r="AD664" s="36"/>
      <c r="AE664" s="36"/>
      <c r="AF664" s="42"/>
      <c r="AG664" s="36"/>
    </row>
    <row r="665" spans="2:33" s="44" customFormat="1" x14ac:dyDescent="0.3">
      <c r="B665" s="23"/>
      <c r="C665" s="40"/>
      <c r="D665" s="40"/>
      <c r="E665" s="41"/>
      <c r="F665" s="41"/>
      <c r="G665" s="41"/>
      <c r="H665" s="42"/>
      <c r="I665" s="42"/>
      <c r="J665" s="42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2"/>
      <c r="X665" s="42"/>
      <c r="Y665" s="42"/>
      <c r="Z665" s="42"/>
      <c r="AA665" s="42"/>
      <c r="AB665" s="42"/>
      <c r="AC665" s="36"/>
      <c r="AD665" s="36"/>
      <c r="AE665" s="36"/>
      <c r="AF665" s="42"/>
      <c r="AG665" s="36"/>
    </row>
    <row r="666" spans="2:33" s="44" customFormat="1" x14ac:dyDescent="0.3">
      <c r="B666" s="23"/>
      <c r="C666" s="40"/>
      <c r="D666" s="40"/>
      <c r="E666" s="41"/>
      <c r="F666" s="41"/>
      <c r="G666" s="41"/>
      <c r="H666" s="42"/>
      <c r="I666" s="42"/>
      <c r="J666" s="42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2"/>
      <c r="X666" s="42"/>
      <c r="Y666" s="42"/>
      <c r="Z666" s="42"/>
      <c r="AA666" s="42"/>
      <c r="AB666" s="42"/>
      <c r="AC666" s="36"/>
      <c r="AD666" s="36"/>
      <c r="AE666" s="36"/>
      <c r="AF666" s="42"/>
      <c r="AG666" s="36"/>
    </row>
    <row r="667" spans="2:33" s="44" customFormat="1" x14ac:dyDescent="0.3">
      <c r="B667" s="23"/>
      <c r="C667" s="40"/>
      <c r="D667" s="40"/>
      <c r="E667" s="41"/>
      <c r="F667" s="41"/>
      <c r="G667" s="41"/>
      <c r="H667" s="42"/>
      <c r="I667" s="42"/>
      <c r="J667" s="42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2"/>
      <c r="X667" s="42"/>
      <c r="Y667" s="42"/>
      <c r="Z667" s="42"/>
      <c r="AA667" s="42"/>
      <c r="AB667" s="42"/>
      <c r="AC667" s="36"/>
      <c r="AD667" s="36"/>
      <c r="AE667" s="36"/>
      <c r="AF667" s="42"/>
      <c r="AG667" s="36"/>
    </row>
    <row r="668" spans="2:33" s="44" customFormat="1" x14ac:dyDescent="0.3">
      <c r="B668" s="23"/>
      <c r="C668" s="40"/>
      <c r="D668" s="40"/>
      <c r="E668" s="41"/>
      <c r="F668" s="41"/>
      <c r="G668" s="41"/>
      <c r="H668" s="42"/>
      <c r="I668" s="42"/>
      <c r="J668" s="42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2"/>
      <c r="X668" s="42"/>
      <c r="Y668" s="42"/>
      <c r="Z668" s="42"/>
      <c r="AA668" s="42"/>
      <c r="AB668" s="42"/>
      <c r="AC668" s="36"/>
      <c r="AD668" s="36"/>
      <c r="AE668" s="36"/>
      <c r="AF668" s="42"/>
      <c r="AG668" s="36"/>
    </row>
    <row r="669" spans="2:33" s="44" customFormat="1" x14ac:dyDescent="0.3">
      <c r="B669" s="23"/>
      <c r="C669" s="40"/>
      <c r="D669" s="40"/>
      <c r="E669" s="41"/>
      <c r="F669" s="41"/>
      <c r="G669" s="41"/>
      <c r="H669" s="42"/>
      <c r="I669" s="42"/>
      <c r="J669" s="42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2"/>
      <c r="X669" s="42"/>
      <c r="Y669" s="42"/>
      <c r="Z669" s="42"/>
      <c r="AA669" s="42"/>
      <c r="AB669" s="42"/>
      <c r="AC669" s="36"/>
      <c r="AD669" s="36"/>
      <c r="AE669" s="36"/>
      <c r="AF669" s="42"/>
      <c r="AG669" s="36"/>
    </row>
    <row r="670" spans="2:33" s="44" customFormat="1" x14ac:dyDescent="0.3">
      <c r="B670" s="23"/>
      <c r="C670" s="40"/>
      <c r="D670" s="40"/>
      <c r="E670" s="41"/>
      <c r="F670" s="41"/>
      <c r="G670" s="41"/>
      <c r="H670" s="42"/>
      <c r="I670" s="42"/>
      <c r="J670" s="42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2"/>
      <c r="X670" s="42"/>
      <c r="Y670" s="42"/>
      <c r="Z670" s="42"/>
      <c r="AA670" s="42"/>
      <c r="AB670" s="42"/>
      <c r="AC670" s="36"/>
      <c r="AD670" s="36"/>
      <c r="AE670" s="36"/>
      <c r="AF670" s="42"/>
      <c r="AG670" s="36"/>
    </row>
    <row r="671" spans="2:33" s="44" customFormat="1" x14ac:dyDescent="0.3">
      <c r="B671" s="23"/>
      <c r="C671" s="40"/>
      <c r="D671" s="40"/>
      <c r="E671" s="41"/>
      <c r="F671" s="41"/>
      <c r="G671" s="41"/>
      <c r="H671" s="42"/>
      <c r="I671" s="42"/>
      <c r="J671" s="42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2"/>
      <c r="X671" s="42"/>
      <c r="Y671" s="42"/>
      <c r="Z671" s="42"/>
      <c r="AA671" s="42"/>
      <c r="AB671" s="42"/>
      <c r="AC671" s="36"/>
      <c r="AD671" s="36"/>
      <c r="AE671" s="36"/>
      <c r="AF671" s="42"/>
      <c r="AG671" s="36"/>
    </row>
    <row r="672" spans="2:33" s="44" customFormat="1" x14ac:dyDescent="0.3">
      <c r="B672" s="23"/>
      <c r="C672" s="40"/>
      <c r="D672" s="40"/>
      <c r="E672" s="41"/>
      <c r="F672" s="41"/>
      <c r="G672" s="41"/>
      <c r="H672" s="42"/>
      <c r="I672" s="42"/>
      <c r="J672" s="42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2"/>
      <c r="X672" s="42"/>
      <c r="Y672" s="42"/>
      <c r="Z672" s="42"/>
      <c r="AA672" s="42"/>
      <c r="AB672" s="42"/>
      <c r="AC672" s="36"/>
      <c r="AD672" s="36"/>
      <c r="AE672" s="36"/>
      <c r="AF672" s="42"/>
      <c r="AG672" s="36"/>
    </row>
    <row r="673" spans="2:33" s="44" customFormat="1" x14ac:dyDescent="0.3">
      <c r="B673" s="23"/>
      <c r="C673" s="40"/>
      <c r="D673" s="40"/>
      <c r="E673" s="41"/>
      <c r="F673" s="41"/>
      <c r="G673" s="41"/>
      <c r="H673" s="42"/>
      <c r="I673" s="42"/>
      <c r="J673" s="42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2"/>
      <c r="X673" s="42"/>
      <c r="Y673" s="42"/>
      <c r="Z673" s="42"/>
      <c r="AA673" s="42"/>
      <c r="AB673" s="42"/>
      <c r="AC673" s="36"/>
      <c r="AD673" s="36"/>
      <c r="AE673" s="36"/>
      <c r="AF673" s="42"/>
      <c r="AG673" s="36"/>
    </row>
    <row r="674" spans="2:33" s="44" customFormat="1" x14ac:dyDescent="0.3">
      <c r="B674" s="23"/>
      <c r="C674" s="40"/>
      <c r="D674" s="40"/>
      <c r="E674" s="41"/>
      <c r="F674" s="41"/>
      <c r="G674" s="41"/>
      <c r="H674" s="42"/>
      <c r="I674" s="42"/>
      <c r="J674" s="42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2"/>
      <c r="X674" s="42"/>
      <c r="Y674" s="42"/>
      <c r="Z674" s="42"/>
      <c r="AA674" s="42"/>
      <c r="AB674" s="42"/>
      <c r="AC674" s="36"/>
      <c r="AD674" s="36"/>
      <c r="AE674" s="36"/>
      <c r="AF674" s="42"/>
      <c r="AG674" s="36"/>
    </row>
    <row r="675" spans="2:33" s="44" customFormat="1" x14ac:dyDescent="0.3">
      <c r="B675" s="23"/>
      <c r="C675" s="40"/>
      <c r="D675" s="40"/>
      <c r="E675" s="41"/>
      <c r="F675" s="41"/>
      <c r="G675" s="41"/>
      <c r="H675" s="42"/>
      <c r="I675" s="42"/>
      <c r="J675" s="42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2"/>
      <c r="X675" s="42"/>
      <c r="Y675" s="42"/>
      <c r="Z675" s="42"/>
      <c r="AA675" s="42"/>
      <c r="AB675" s="42"/>
      <c r="AC675" s="36"/>
      <c r="AD675" s="36"/>
      <c r="AE675" s="36"/>
      <c r="AF675" s="42"/>
      <c r="AG675" s="36"/>
    </row>
    <row r="676" spans="2:33" s="44" customFormat="1" x14ac:dyDescent="0.3">
      <c r="B676" s="23"/>
      <c r="C676" s="40"/>
      <c r="D676" s="40"/>
      <c r="E676" s="41"/>
      <c r="F676" s="41"/>
      <c r="G676" s="41"/>
      <c r="H676" s="42"/>
      <c r="I676" s="42"/>
      <c r="J676" s="42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2"/>
      <c r="X676" s="42"/>
      <c r="Y676" s="42"/>
      <c r="Z676" s="42"/>
      <c r="AA676" s="42"/>
      <c r="AB676" s="42"/>
      <c r="AC676" s="36"/>
      <c r="AD676" s="36"/>
      <c r="AE676" s="36"/>
      <c r="AF676" s="42"/>
      <c r="AG676" s="36"/>
    </row>
    <row r="677" spans="2:33" s="44" customFormat="1" x14ac:dyDescent="0.3">
      <c r="B677" s="23"/>
      <c r="C677" s="40"/>
      <c r="D677" s="40"/>
      <c r="E677" s="41"/>
      <c r="F677" s="41"/>
      <c r="G677" s="41"/>
      <c r="H677" s="42"/>
      <c r="I677" s="42"/>
      <c r="J677" s="42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2"/>
      <c r="X677" s="42"/>
      <c r="Y677" s="42"/>
      <c r="Z677" s="42"/>
      <c r="AA677" s="42"/>
      <c r="AB677" s="42"/>
      <c r="AC677" s="36"/>
      <c r="AD677" s="36"/>
      <c r="AE677" s="36"/>
      <c r="AF677" s="42"/>
      <c r="AG677" s="36"/>
    </row>
    <row r="678" spans="2:33" s="44" customFormat="1" x14ac:dyDescent="0.3">
      <c r="B678" s="23"/>
      <c r="C678" s="40"/>
      <c r="D678" s="40"/>
      <c r="E678" s="41"/>
      <c r="F678" s="41"/>
      <c r="G678" s="41"/>
      <c r="H678" s="42"/>
      <c r="I678" s="42"/>
      <c r="J678" s="42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2"/>
      <c r="X678" s="42"/>
      <c r="Y678" s="42"/>
      <c r="Z678" s="42"/>
      <c r="AA678" s="42"/>
      <c r="AB678" s="42"/>
      <c r="AC678" s="36"/>
      <c r="AD678" s="36"/>
      <c r="AE678" s="36"/>
      <c r="AF678" s="42"/>
      <c r="AG678" s="36"/>
    </row>
    <row r="679" spans="2:33" s="44" customFormat="1" x14ac:dyDescent="0.3">
      <c r="B679" s="23"/>
      <c r="C679" s="40"/>
      <c r="D679" s="40"/>
      <c r="E679" s="41"/>
      <c r="F679" s="41"/>
      <c r="G679" s="41"/>
      <c r="H679" s="42"/>
      <c r="I679" s="42"/>
      <c r="J679" s="42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2"/>
      <c r="X679" s="42"/>
      <c r="Y679" s="42"/>
      <c r="Z679" s="42"/>
      <c r="AA679" s="42"/>
      <c r="AB679" s="42"/>
      <c r="AC679" s="36"/>
      <c r="AD679" s="36"/>
      <c r="AE679" s="36"/>
      <c r="AF679" s="42"/>
      <c r="AG679" s="36"/>
    </row>
    <row r="680" spans="2:33" s="44" customFormat="1" x14ac:dyDescent="0.3">
      <c r="B680" s="23"/>
      <c r="C680" s="40"/>
      <c r="D680" s="40"/>
      <c r="E680" s="41"/>
      <c r="F680" s="41"/>
      <c r="G680" s="41"/>
      <c r="H680" s="42"/>
      <c r="I680" s="42"/>
      <c r="J680" s="42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2"/>
      <c r="X680" s="42"/>
      <c r="Y680" s="42"/>
      <c r="Z680" s="42"/>
      <c r="AA680" s="42"/>
      <c r="AB680" s="42"/>
      <c r="AC680" s="36"/>
      <c r="AD680" s="36"/>
      <c r="AE680" s="36"/>
      <c r="AF680" s="42"/>
      <c r="AG680" s="36"/>
    </row>
    <row r="681" spans="2:33" s="44" customFormat="1" x14ac:dyDescent="0.3">
      <c r="B681" s="23"/>
      <c r="C681" s="40"/>
      <c r="D681" s="40"/>
      <c r="E681" s="41"/>
      <c r="F681" s="41"/>
      <c r="G681" s="41"/>
      <c r="H681" s="42"/>
      <c r="I681" s="42"/>
      <c r="J681" s="42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2"/>
      <c r="X681" s="42"/>
      <c r="Y681" s="42"/>
      <c r="Z681" s="42"/>
      <c r="AA681" s="42"/>
      <c r="AB681" s="42"/>
      <c r="AC681" s="36"/>
      <c r="AD681" s="36"/>
      <c r="AE681" s="36"/>
      <c r="AF681" s="42"/>
      <c r="AG681" s="36"/>
    </row>
    <row r="682" spans="2:33" s="44" customFormat="1" x14ac:dyDescent="0.3">
      <c r="B682" s="23"/>
      <c r="C682" s="40"/>
      <c r="D682" s="40"/>
      <c r="E682" s="41"/>
      <c r="F682" s="41"/>
      <c r="G682" s="41"/>
      <c r="H682" s="42"/>
      <c r="I682" s="42"/>
      <c r="J682" s="42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2"/>
      <c r="X682" s="42"/>
      <c r="Y682" s="42"/>
      <c r="Z682" s="42"/>
      <c r="AA682" s="42"/>
      <c r="AB682" s="42"/>
      <c r="AC682" s="36"/>
      <c r="AD682" s="36"/>
      <c r="AE682" s="36"/>
      <c r="AF682" s="42"/>
      <c r="AG682" s="36"/>
    </row>
    <row r="683" spans="2:33" s="44" customFormat="1" x14ac:dyDescent="0.3">
      <c r="B683" s="23"/>
      <c r="C683" s="40"/>
      <c r="D683" s="40"/>
      <c r="E683" s="41"/>
      <c r="F683" s="41"/>
      <c r="G683" s="41"/>
      <c r="H683" s="42"/>
      <c r="I683" s="42"/>
      <c r="J683" s="42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2"/>
      <c r="X683" s="42"/>
      <c r="Y683" s="42"/>
      <c r="Z683" s="42"/>
      <c r="AA683" s="42"/>
      <c r="AB683" s="42"/>
      <c r="AC683" s="36"/>
      <c r="AD683" s="36"/>
      <c r="AE683" s="36"/>
      <c r="AF683" s="42"/>
      <c r="AG683" s="36"/>
    </row>
    <row r="684" spans="2:33" s="44" customFormat="1" x14ac:dyDescent="0.3">
      <c r="B684" s="23"/>
      <c r="C684" s="40"/>
      <c r="D684" s="40"/>
      <c r="E684" s="41"/>
      <c r="F684" s="41"/>
      <c r="G684" s="41"/>
      <c r="H684" s="42"/>
      <c r="I684" s="42"/>
      <c r="J684" s="42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2"/>
      <c r="X684" s="42"/>
      <c r="Y684" s="42"/>
      <c r="Z684" s="42"/>
      <c r="AA684" s="42"/>
      <c r="AB684" s="42"/>
      <c r="AC684" s="36"/>
      <c r="AD684" s="36"/>
      <c r="AE684" s="36"/>
      <c r="AF684" s="42"/>
      <c r="AG684" s="36"/>
    </row>
    <row r="685" spans="2:33" s="44" customFormat="1" x14ac:dyDescent="0.3">
      <c r="B685" s="23"/>
      <c r="C685" s="40"/>
      <c r="D685" s="40"/>
      <c r="E685" s="41"/>
      <c r="F685" s="41"/>
      <c r="G685" s="41"/>
      <c r="H685" s="42"/>
      <c r="I685" s="42"/>
      <c r="J685" s="42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2"/>
      <c r="X685" s="42"/>
      <c r="Y685" s="42"/>
      <c r="Z685" s="42"/>
      <c r="AA685" s="42"/>
      <c r="AB685" s="42"/>
      <c r="AC685" s="36"/>
      <c r="AD685" s="36"/>
      <c r="AE685" s="36"/>
      <c r="AF685" s="42"/>
      <c r="AG685" s="36"/>
    </row>
    <row r="686" spans="2:33" s="44" customFormat="1" x14ac:dyDescent="0.3">
      <c r="B686" s="23"/>
      <c r="C686" s="40"/>
      <c r="D686" s="40"/>
      <c r="E686" s="41"/>
      <c r="F686" s="41"/>
      <c r="G686" s="41"/>
      <c r="H686" s="42"/>
      <c r="I686" s="42"/>
      <c r="J686" s="42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2"/>
      <c r="X686" s="42"/>
      <c r="Y686" s="42"/>
      <c r="Z686" s="42"/>
      <c r="AA686" s="42"/>
      <c r="AB686" s="42"/>
      <c r="AC686" s="36"/>
      <c r="AD686" s="36"/>
      <c r="AE686" s="36"/>
      <c r="AF686" s="42"/>
      <c r="AG686" s="36"/>
    </row>
    <row r="687" spans="2:33" s="44" customFormat="1" x14ac:dyDescent="0.3">
      <c r="B687" s="23"/>
      <c r="C687" s="40"/>
      <c r="D687" s="40"/>
      <c r="E687" s="41"/>
      <c r="F687" s="41"/>
      <c r="G687" s="41"/>
      <c r="H687" s="42"/>
      <c r="I687" s="42"/>
      <c r="J687" s="42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2"/>
      <c r="X687" s="42"/>
      <c r="Y687" s="42"/>
      <c r="Z687" s="42"/>
      <c r="AA687" s="42"/>
      <c r="AB687" s="42"/>
      <c r="AC687" s="36"/>
      <c r="AD687" s="36"/>
      <c r="AE687" s="36"/>
      <c r="AF687" s="42"/>
      <c r="AG687" s="36"/>
    </row>
    <row r="688" spans="2:33" s="44" customFormat="1" x14ac:dyDescent="0.3">
      <c r="B688" s="23"/>
      <c r="C688" s="40"/>
      <c r="D688" s="40"/>
      <c r="E688" s="41"/>
      <c r="F688" s="41"/>
      <c r="G688" s="41"/>
      <c r="H688" s="42"/>
      <c r="I688" s="42"/>
      <c r="J688" s="42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2"/>
      <c r="X688" s="42"/>
      <c r="Y688" s="42"/>
      <c r="Z688" s="42"/>
      <c r="AA688" s="42"/>
      <c r="AB688" s="42"/>
      <c r="AC688" s="36"/>
      <c r="AD688" s="36"/>
      <c r="AE688" s="36"/>
      <c r="AF688" s="42"/>
      <c r="AG688" s="36"/>
    </row>
    <row r="689" spans="2:33" s="44" customFormat="1" x14ac:dyDescent="0.3">
      <c r="B689" s="23"/>
      <c r="C689" s="40"/>
      <c r="D689" s="40"/>
      <c r="E689" s="41"/>
      <c r="F689" s="41"/>
      <c r="G689" s="41"/>
      <c r="H689" s="42"/>
      <c r="I689" s="42"/>
      <c r="J689" s="42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2"/>
      <c r="X689" s="42"/>
      <c r="Y689" s="42"/>
      <c r="Z689" s="42"/>
      <c r="AA689" s="42"/>
      <c r="AB689" s="42"/>
      <c r="AC689" s="36"/>
      <c r="AD689" s="36"/>
      <c r="AE689" s="36"/>
      <c r="AF689" s="42"/>
      <c r="AG689" s="36"/>
    </row>
    <row r="690" spans="2:33" s="44" customFormat="1" x14ac:dyDescent="0.3">
      <c r="B690" s="23"/>
      <c r="C690" s="40"/>
      <c r="D690" s="40"/>
      <c r="E690" s="41"/>
      <c r="F690" s="41"/>
      <c r="G690" s="41"/>
      <c r="H690" s="42"/>
      <c r="I690" s="42"/>
      <c r="J690" s="42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2"/>
      <c r="X690" s="42"/>
      <c r="Y690" s="42"/>
      <c r="Z690" s="42"/>
      <c r="AA690" s="42"/>
      <c r="AB690" s="42"/>
      <c r="AC690" s="36"/>
      <c r="AD690" s="36"/>
      <c r="AE690" s="36"/>
      <c r="AF690" s="42"/>
      <c r="AG690" s="36"/>
    </row>
    <row r="691" spans="2:33" s="44" customFormat="1" x14ac:dyDescent="0.3">
      <c r="B691" s="23"/>
      <c r="C691" s="40"/>
      <c r="D691" s="40"/>
      <c r="E691" s="41"/>
      <c r="F691" s="41"/>
      <c r="G691" s="41"/>
      <c r="H691" s="42"/>
      <c r="I691" s="42"/>
      <c r="J691" s="42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2"/>
      <c r="X691" s="42"/>
      <c r="Y691" s="42"/>
      <c r="Z691" s="42"/>
      <c r="AA691" s="42"/>
      <c r="AB691" s="42"/>
      <c r="AC691" s="36"/>
      <c r="AD691" s="36"/>
      <c r="AE691" s="36"/>
      <c r="AF691" s="42"/>
      <c r="AG691" s="36"/>
    </row>
    <row r="692" spans="2:33" s="44" customFormat="1" x14ac:dyDescent="0.3">
      <c r="B692" s="23"/>
      <c r="C692" s="40"/>
      <c r="D692" s="40"/>
      <c r="E692" s="41"/>
      <c r="F692" s="41"/>
      <c r="G692" s="41"/>
      <c r="H692" s="42"/>
      <c r="I692" s="42"/>
      <c r="J692" s="42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2"/>
      <c r="X692" s="42"/>
      <c r="Y692" s="42"/>
      <c r="Z692" s="42"/>
      <c r="AA692" s="42"/>
      <c r="AB692" s="42"/>
      <c r="AC692" s="36"/>
      <c r="AD692" s="36"/>
      <c r="AE692" s="36"/>
      <c r="AF692" s="42"/>
      <c r="AG692" s="36"/>
    </row>
    <row r="693" spans="2:33" s="44" customFormat="1" x14ac:dyDescent="0.3">
      <c r="B693" s="23"/>
      <c r="C693" s="40"/>
      <c r="D693" s="40"/>
      <c r="E693" s="41"/>
      <c r="F693" s="41"/>
      <c r="G693" s="41"/>
      <c r="H693" s="42"/>
      <c r="I693" s="42"/>
      <c r="J693" s="42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2"/>
      <c r="X693" s="42"/>
      <c r="Y693" s="42"/>
      <c r="Z693" s="42"/>
      <c r="AA693" s="42"/>
      <c r="AB693" s="42"/>
      <c r="AC693" s="36"/>
      <c r="AD693" s="36"/>
      <c r="AE693" s="36"/>
      <c r="AF693" s="42"/>
      <c r="AG693" s="36"/>
    </row>
    <row r="694" spans="2:33" s="44" customFormat="1" x14ac:dyDescent="0.3">
      <c r="B694" s="23"/>
      <c r="C694" s="40"/>
      <c r="D694" s="40"/>
      <c r="E694" s="41"/>
      <c r="F694" s="41"/>
      <c r="G694" s="41"/>
      <c r="H694" s="42"/>
      <c r="I694" s="42"/>
      <c r="J694" s="42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2"/>
      <c r="X694" s="42"/>
      <c r="Y694" s="42"/>
      <c r="Z694" s="42"/>
      <c r="AA694" s="42"/>
      <c r="AB694" s="42"/>
      <c r="AC694" s="36"/>
      <c r="AD694" s="36"/>
      <c r="AE694" s="36"/>
      <c r="AF694" s="42"/>
      <c r="AG694" s="36"/>
    </row>
    <row r="695" spans="2:33" s="44" customFormat="1" x14ac:dyDescent="0.3">
      <c r="B695" s="23"/>
      <c r="C695" s="40"/>
      <c r="D695" s="40"/>
      <c r="E695" s="41"/>
      <c r="F695" s="41"/>
      <c r="G695" s="41"/>
      <c r="H695" s="42"/>
      <c r="I695" s="42"/>
      <c r="J695" s="42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2"/>
      <c r="X695" s="42"/>
      <c r="Y695" s="42"/>
      <c r="Z695" s="42"/>
      <c r="AA695" s="42"/>
      <c r="AB695" s="42"/>
      <c r="AC695" s="36"/>
      <c r="AD695" s="36"/>
      <c r="AE695" s="36"/>
      <c r="AF695" s="42"/>
      <c r="AG695" s="36"/>
    </row>
    <row r="696" spans="2:33" s="44" customFormat="1" x14ac:dyDescent="0.3">
      <c r="B696" s="23"/>
      <c r="C696" s="40"/>
      <c r="D696" s="40"/>
      <c r="E696" s="41"/>
      <c r="F696" s="41"/>
      <c r="G696" s="41"/>
      <c r="H696" s="42"/>
      <c r="I696" s="42"/>
      <c r="J696" s="42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2"/>
      <c r="X696" s="42"/>
      <c r="Y696" s="42"/>
      <c r="Z696" s="42"/>
      <c r="AA696" s="42"/>
      <c r="AB696" s="42"/>
      <c r="AC696" s="36"/>
      <c r="AD696" s="36"/>
      <c r="AE696" s="36"/>
      <c r="AF696" s="42"/>
      <c r="AG696" s="36"/>
    </row>
    <row r="697" spans="2:33" s="44" customFormat="1" x14ac:dyDescent="0.3">
      <c r="B697" s="23"/>
      <c r="C697" s="40"/>
      <c r="D697" s="40"/>
      <c r="E697" s="41"/>
      <c r="F697" s="41"/>
      <c r="G697" s="41"/>
      <c r="H697" s="42"/>
      <c r="I697" s="42"/>
      <c r="J697" s="42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2"/>
      <c r="X697" s="42"/>
      <c r="Y697" s="42"/>
      <c r="Z697" s="42"/>
      <c r="AA697" s="42"/>
      <c r="AB697" s="42"/>
      <c r="AC697" s="36"/>
      <c r="AD697" s="36"/>
      <c r="AE697" s="36"/>
      <c r="AF697" s="42"/>
      <c r="AG697" s="36"/>
    </row>
    <row r="698" spans="2:33" s="44" customFormat="1" x14ac:dyDescent="0.3">
      <c r="B698" s="23"/>
      <c r="C698" s="40"/>
      <c r="D698" s="40"/>
      <c r="E698" s="41"/>
      <c r="F698" s="41"/>
      <c r="G698" s="41"/>
      <c r="H698" s="42"/>
      <c r="I698" s="42"/>
      <c r="J698" s="42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2"/>
      <c r="X698" s="42"/>
      <c r="Y698" s="42"/>
      <c r="Z698" s="42"/>
      <c r="AA698" s="42"/>
      <c r="AB698" s="42"/>
      <c r="AC698" s="36"/>
      <c r="AD698" s="36"/>
      <c r="AE698" s="36"/>
      <c r="AF698" s="42"/>
      <c r="AG698" s="36"/>
    </row>
    <row r="699" spans="2:33" s="44" customFormat="1" x14ac:dyDescent="0.3">
      <c r="B699" s="23"/>
      <c r="C699" s="40"/>
      <c r="D699" s="40"/>
      <c r="E699" s="41"/>
      <c r="F699" s="41"/>
      <c r="G699" s="41"/>
      <c r="H699" s="42"/>
      <c r="I699" s="42"/>
      <c r="J699" s="42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2"/>
      <c r="X699" s="42"/>
      <c r="Y699" s="42"/>
      <c r="Z699" s="42"/>
      <c r="AA699" s="42"/>
      <c r="AB699" s="42"/>
      <c r="AC699" s="36"/>
      <c r="AD699" s="36"/>
      <c r="AE699" s="36"/>
      <c r="AF699" s="42"/>
      <c r="AG699" s="36"/>
    </row>
    <row r="700" spans="2:33" s="44" customFormat="1" x14ac:dyDescent="0.3">
      <c r="B700" s="23"/>
      <c r="C700" s="40"/>
      <c r="D700" s="40"/>
      <c r="E700" s="41"/>
      <c r="F700" s="41"/>
      <c r="G700" s="41"/>
      <c r="H700" s="42"/>
      <c r="I700" s="42"/>
      <c r="J700" s="42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2"/>
      <c r="X700" s="42"/>
      <c r="Y700" s="42"/>
      <c r="Z700" s="42"/>
      <c r="AA700" s="42"/>
      <c r="AB700" s="42"/>
      <c r="AC700" s="36"/>
      <c r="AD700" s="36"/>
      <c r="AE700" s="36"/>
      <c r="AF700" s="42"/>
      <c r="AG700" s="36"/>
    </row>
    <row r="701" spans="2:33" s="44" customFormat="1" x14ac:dyDescent="0.3">
      <c r="B701" s="23"/>
      <c r="C701" s="40"/>
      <c r="D701" s="40"/>
      <c r="E701" s="41"/>
      <c r="F701" s="41"/>
      <c r="G701" s="41"/>
      <c r="H701" s="42"/>
      <c r="I701" s="42"/>
      <c r="J701" s="42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2"/>
      <c r="X701" s="42"/>
      <c r="Y701" s="42"/>
      <c r="Z701" s="42"/>
      <c r="AA701" s="42"/>
      <c r="AB701" s="42"/>
      <c r="AC701" s="36"/>
      <c r="AD701" s="36"/>
      <c r="AE701" s="36"/>
      <c r="AF701" s="42"/>
      <c r="AG701" s="36"/>
    </row>
    <row r="702" spans="2:33" s="44" customFormat="1" x14ac:dyDescent="0.3">
      <c r="B702" s="23"/>
      <c r="C702" s="40"/>
      <c r="D702" s="40"/>
      <c r="E702" s="41"/>
      <c r="F702" s="41"/>
      <c r="G702" s="41"/>
      <c r="H702" s="42"/>
      <c r="I702" s="42"/>
      <c r="J702" s="42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2"/>
      <c r="X702" s="42"/>
      <c r="Y702" s="42"/>
      <c r="Z702" s="42"/>
      <c r="AA702" s="42"/>
      <c r="AB702" s="42"/>
      <c r="AC702" s="36"/>
      <c r="AD702" s="36"/>
      <c r="AE702" s="36"/>
      <c r="AF702" s="42"/>
      <c r="AG702" s="36"/>
    </row>
    <row r="703" spans="2:33" s="44" customFormat="1" x14ac:dyDescent="0.3">
      <c r="B703" s="23"/>
      <c r="C703" s="40"/>
      <c r="D703" s="40"/>
      <c r="E703" s="41"/>
      <c r="F703" s="41"/>
      <c r="G703" s="41"/>
      <c r="H703" s="42"/>
      <c r="I703" s="42"/>
      <c r="J703" s="42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2"/>
      <c r="X703" s="42"/>
      <c r="Y703" s="42"/>
      <c r="Z703" s="42"/>
      <c r="AA703" s="42"/>
      <c r="AB703" s="42"/>
      <c r="AC703" s="36"/>
      <c r="AD703" s="36"/>
      <c r="AE703" s="36"/>
      <c r="AF703" s="42"/>
      <c r="AG703" s="36"/>
    </row>
    <row r="704" spans="2:33" s="44" customFormat="1" x14ac:dyDescent="0.3">
      <c r="B704" s="23"/>
      <c r="C704" s="40"/>
      <c r="D704" s="40"/>
      <c r="E704" s="41"/>
      <c r="F704" s="41"/>
      <c r="G704" s="41"/>
      <c r="H704" s="42"/>
      <c r="I704" s="42"/>
      <c r="J704" s="42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2"/>
      <c r="X704" s="42"/>
      <c r="Y704" s="42"/>
      <c r="Z704" s="42"/>
      <c r="AA704" s="42"/>
      <c r="AB704" s="42"/>
      <c r="AC704" s="36"/>
      <c r="AD704" s="36"/>
      <c r="AE704" s="36"/>
      <c r="AF704" s="42"/>
      <c r="AG704" s="36"/>
    </row>
    <row r="705" spans="2:33" s="44" customFormat="1" x14ac:dyDescent="0.3">
      <c r="B705" s="23"/>
      <c r="C705" s="40"/>
      <c r="D705" s="40"/>
      <c r="E705" s="41"/>
      <c r="F705" s="41"/>
      <c r="G705" s="41"/>
      <c r="H705" s="42"/>
      <c r="I705" s="42"/>
      <c r="J705" s="42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2"/>
      <c r="X705" s="42"/>
      <c r="Y705" s="42"/>
      <c r="Z705" s="42"/>
      <c r="AA705" s="42"/>
      <c r="AB705" s="42"/>
      <c r="AC705" s="36"/>
      <c r="AD705" s="36"/>
      <c r="AE705" s="36"/>
      <c r="AF705" s="42"/>
      <c r="AG705" s="36"/>
    </row>
    <row r="706" spans="2:33" s="44" customFormat="1" x14ac:dyDescent="0.3">
      <c r="B706" s="23"/>
      <c r="C706" s="40"/>
      <c r="D706" s="40"/>
      <c r="E706" s="41"/>
      <c r="F706" s="41"/>
      <c r="G706" s="41"/>
      <c r="H706" s="42"/>
      <c r="I706" s="42"/>
      <c r="J706" s="42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2"/>
      <c r="X706" s="42"/>
      <c r="Y706" s="42"/>
      <c r="Z706" s="42"/>
      <c r="AA706" s="42"/>
      <c r="AB706" s="42"/>
      <c r="AC706" s="36"/>
      <c r="AD706" s="36"/>
      <c r="AE706" s="36"/>
      <c r="AF706" s="42"/>
      <c r="AG706" s="36"/>
    </row>
    <row r="707" spans="2:33" s="44" customFormat="1" x14ac:dyDescent="0.3">
      <c r="B707" s="23"/>
      <c r="C707" s="40"/>
      <c r="D707" s="40"/>
      <c r="E707" s="41"/>
      <c r="F707" s="41"/>
      <c r="G707" s="41"/>
      <c r="H707" s="42"/>
      <c r="I707" s="42"/>
      <c r="J707" s="42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2"/>
      <c r="X707" s="42"/>
      <c r="Y707" s="42"/>
      <c r="Z707" s="42"/>
      <c r="AA707" s="42"/>
      <c r="AB707" s="42"/>
      <c r="AC707" s="36"/>
      <c r="AD707" s="36"/>
      <c r="AE707" s="36"/>
      <c r="AF707" s="42"/>
      <c r="AG707" s="36"/>
    </row>
    <row r="708" spans="2:33" s="44" customFormat="1" x14ac:dyDescent="0.3">
      <c r="B708" s="23"/>
      <c r="C708" s="40"/>
      <c r="D708" s="40"/>
      <c r="E708" s="41"/>
      <c r="F708" s="41"/>
      <c r="G708" s="41"/>
      <c r="H708" s="42"/>
      <c r="I708" s="42"/>
      <c r="J708" s="42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2"/>
      <c r="X708" s="42"/>
      <c r="Y708" s="42"/>
      <c r="Z708" s="42"/>
      <c r="AA708" s="42"/>
      <c r="AB708" s="42"/>
      <c r="AC708" s="36"/>
      <c r="AD708" s="36"/>
      <c r="AE708" s="36"/>
      <c r="AF708" s="42"/>
      <c r="AG708" s="36"/>
    </row>
    <row r="709" spans="2:33" s="44" customFormat="1" x14ac:dyDescent="0.3">
      <c r="B709" s="23"/>
      <c r="C709" s="40"/>
      <c r="D709" s="40"/>
      <c r="E709" s="41"/>
      <c r="F709" s="41"/>
      <c r="G709" s="41"/>
      <c r="H709" s="42"/>
      <c r="I709" s="42"/>
      <c r="J709" s="42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2"/>
      <c r="X709" s="42"/>
      <c r="Y709" s="42"/>
      <c r="Z709" s="42"/>
      <c r="AA709" s="42"/>
      <c r="AB709" s="42"/>
      <c r="AC709" s="36"/>
      <c r="AD709" s="36"/>
      <c r="AE709" s="36"/>
      <c r="AF709" s="42"/>
      <c r="AG709" s="36"/>
    </row>
    <row r="710" spans="2:33" s="44" customFormat="1" x14ac:dyDescent="0.3">
      <c r="B710" s="23"/>
      <c r="C710" s="40"/>
      <c r="D710" s="40"/>
      <c r="E710" s="41"/>
      <c r="F710" s="41"/>
      <c r="G710" s="41"/>
      <c r="H710" s="42"/>
      <c r="I710" s="42"/>
      <c r="J710" s="42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2"/>
      <c r="X710" s="42"/>
      <c r="Y710" s="42"/>
      <c r="Z710" s="42"/>
      <c r="AA710" s="42"/>
      <c r="AB710" s="42"/>
      <c r="AC710" s="36"/>
      <c r="AD710" s="36"/>
      <c r="AE710" s="36"/>
      <c r="AF710" s="42"/>
      <c r="AG710" s="36"/>
    </row>
    <row r="711" spans="2:33" s="44" customFormat="1" x14ac:dyDescent="0.3">
      <c r="B711" s="23"/>
      <c r="C711" s="40"/>
      <c r="D711" s="40"/>
      <c r="E711" s="41"/>
      <c r="F711" s="41"/>
      <c r="G711" s="41"/>
      <c r="H711" s="42"/>
      <c r="I711" s="42"/>
      <c r="J711" s="42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2"/>
      <c r="X711" s="42"/>
      <c r="Y711" s="42"/>
      <c r="Z711" s="42"/>
      <c r="AA711" s="42"/>
      <c r="AB711" s="42"/>
      <c r="AC711" s="36"/>
      <c r="AD711" s="36"/>
      <c r="AE711" s="36"/>
      <c r="AF711" s="42"/>
      <c r="AG711" s="36"/>
    </row>
    <row r="712" spans="2:33" s="44" customFormat="1" x14ac:dyDescent="0.3">
      <c r="B712" s="23"/>
      <c r="C712" s="40"/>
      <c r="D712" s="40"/>
      <c r="E712" s="41"/>
      <c r="F712" s="41"/>
      <c r="G712" s="41"/>
      <c r="H712" s="42"/>
      <c r="I712" s="42"/>
      <c r="J712" s="42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2"/>
      <c r="X712" s="42"/>
      <c r="Y712" s="42"/>
      <c r="Z712" s="42"/>
      <c r="AA712" s="42"/>
      <c r="AB712" s="42"/>
      <c r="AC712" s="36"/>
      <c r="AD712" s="36"/>
      <c r="AE712" s="36"/>
      <c r="AF712" s="42"/>
      <c r="AG712" s="36"/>
    </row>
    <row r="713" spans="2:33" s="44" customFormat="1" x14ac:dyDescent="0.3">
      <c r="B713" s="23"/>
      <c r="C713" s="40"/>
      <c r="D713" s="40"/>
      <c r="E713" s="41"/>
      <c r="F713" s="41"/>
      <c r="G713" s="41"/>
      <c r="H713" s="42"/>
      <c r="I713" s="42"/>
      <c r="J713" s="42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2"/>
      <c r="X713" s="42"/>
      <c r="Y713" s="42"/>
      <c r="Z713" s="42"/>
      <c r="AA713" s="42"/>
      <c r="AB713" s="42"/>
      <c r="AC713" s="36"/>
      <c r="AD713" s="36"/>
      <c r="AE713" s="36"/>
      <c r="AF713" s="42"/>
      <c r="AG713" s="36"/>
    </row>
    <row r="714" spans="2:33" s="44" customFormat="1" x14ac:dyDescent="0.3">
      <c r="B714" s="23"/>
      <c r="C714" s="40"/>
      <c r="D714" s="40"/>
      <c r="E714" s="41"/>
      <c r="F714" s="41"/>
      <c r="G714" s="41"/>
      <c r="H714" s="42"/>
      <c r="I714" s="42"/>
      <c r="J714" s="42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2"/>
      <c r="X714" s="42"/>
      <c r="Y714" s="42"/>
      <c r="Z714" s="42"/>
      <c r="AA714" s="42"/>
      <c r="AB714" s="42"/>
      <c r="AC714" s="36"/>
      <c r="AD714" s="36"/>
      <c r="AE714" s="36"/>
      <c r="AF714" s="42"/>
      <c r="AG714" s="36"/>
    </row>
    <row r="715" spans="2:33" s="44" customFormat="1" x14ac:dyDescent="0.3">
      <c r="B715" s="23"/>
      <c r="C715" s="40"/>
      <c r="D715" s="40"/>
      <c r="E715" s="41"/>
      <c r="F715" s="41"/>
      <c r="G715" s="41"/>
      <c r="H715" s="42"/>
      <c r="I715" s="42"/>
      <c r="J715" s="42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2"/>
      <c r="X715" s="42"/>
      <c r="Y715" s="42"/>
      <c r="Z715" s="42"/>
      <c r="AA715" s="42"/>
      <c r="AB715" s="42"/>
      <c r="AC715" s="36"/>
      <c r="AD715" s="36"/>
      <c r="AE715" s="36"/>
      <c r="AF715" s="42"/>
      <c r="AG715" s="36"/>
    </row>
    <row r="716" spans="2:33" s="44" customFormat="1" x14ac:dyDescent="0.3">
      <c r="B716" s="23"/>
      <c r="C716" s="40"/>
      <c r="D716" s="40"/>
      <c r="E716" s="41"/>
      <c r="F716" s="41"/>
      <c r="G716" s="41"/>
      <c r="H716" s="42"/>
      <c r="I716" s="42"/>
      <c r="J716" s="42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2"/>
      <c r="X716" s="42"/>
      <c r="Y716" s="42"/>
      <c r="Z716" s="42"/>
      <c r="AA716" s="42"/>
      <c r="AB716" s="42"/>
      <c r="AC716" s="36"/>
      <c r="AD716" s="36"/>
      <c r="AE716" s="36"/>
      <c r="AF716" s="42"/>
      <c r="AG716" s="36"/>
    </row>
    <row r="717" spans="2:33" s="44" customFormat="1" x14ac:dyDescent="0.3">
      <c r="B717" s="23"/>
      <c r="C717" s="40"/>
      <c r="D717" s="40"/>
      <c r="E717" s="41"/>
      <c r="F717" s="41"/>
      <c r="G717" s="41"/>
      <c r="H717" s="42"/>
      <c r="I717" s="42"/>
      <c r="J717" s="42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2"/>
      <c r="X717" s="42"/>
      <c r="Y717" s="42"/>
      <c r="Z717" s="42"/>
      <c r="AA717" s="42"/>
      <c r="AB717" s="42"/>
      <c r="AC717" s="36"/>
      <c r="AD717" s="36"/>
      <c r="AE717" s="36"/>
      <c r="AF717" s="42"/>
      <c r="AG717" s="36"/>
    </row>
    <row r="718" spans="2:33" s="44" customFormat="1" x14ac:dyDescent="0.3">
      <c r="B718" s="23"/>
      <c r="C718" s="40"/>
      <c r="D718" s="40"/>
      <c r="E718" s="41"/>
      <c r="F718" s="41"/>
      <c r="G718" s="41"/>
      <c r="H718" s="42"/>
      <c r="I718" s="42"/>
      <c r="J718" s="42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2"/>
      <c r="X718" s="42"/>
      <c r="Y718" s="42"/>
      <c r="Z718" s="42"/>
      <c r="AA718" s="42"/>
      <c r="AB718" s="42"/>
      <c r="AC718" s="36"/>
      <c r="AD718" s="36"/>
      <c r="AE718" s="36"/>
      <c r="AF718" s="42"/>
      <c r="AG718" s="36"/>
    </row>
    <row r="719" spans="2:33" s="44" customFormat="1" x14ac:dyDescent="0.3">
      <c r="B719" s="23"/>
      <c r="C719" s="40"/>
      <c r="D719" s="40"/>
      <c r="E719" s="41"/>
      <c r="F719" s="41"/>
      <c r="G719" s="41"/>
      <c r="H719" s="42"/>
      <c r="I719" s="42"/>
      <c r="J719" s="42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2"/>
      <c r="X719" s="42"/>
      <c r="Y719" s="42"/>
      <c r="Z719" s="42"/>
      <c r="AA719" s="42"/>
      <c r="AB719" s="42"/>
      <c r="AC719" s="36"/>
      <c r="AD719" s="36"/>
      <c r="AE719" s="36"/>
      <c r="AF719" s="42"/>
      <c r="AG719" s="36"/>
    </row>
    <row r="720" spans="2:33" s="44" customFormat="1" x14ac:dyDescent="0.3">
      <c r="B720" s="23"/>
      <c r="C720" s="40"/>
      <c r="D720" s="40"/>
      <c r="E720" s="41"/>
      <c r="F720" s="41"/>
      <c r="G720" s="41"/>
      <c r="H720" s="42"/>
      <c r="I720" s="42"/>
      <c r="J720" s="42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2"/>
      <c r="X720" s="42"/>
      <c r="Y720" s="42"/>
      <c r="Z720" s="42"/>
      <c r="AA720" s="42"/>
      <c r="AB720" s="42"/>
      <c r="AC720" s="36"/>
      <c r="AD720" s="36"/>
      <c r="AE720" s="36"/>
      <c r="AF720" s="42"/>
      <c r="AG720" s="36"/>
    </row>
    <row r="721" spans="2:33" s="44" customFormat="1" x14ac:dyDescent="0.3">
      <c r="B721" s="23"/>
      <c r="C721" s="40"/>
      <c r="D721" s="40"/>
      <c r="E721" s="41"/>
      <c r="F721" s="41"/>
      <c r="G721" s="41"/>
      <c r="H721" s="42"/>
      <c r="I721" s="42"/>
      <c r="J721" s="42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2"/>
      <c r="X721" s="42"/>
      <c r="Y721" s="42"/>
      <c r="Z721" s="42"/>
      <c r="AA721" s="42"/>
      <c r="AB721" s="42"/>
      <c r="AC721" s="36"/>
      <c r="AD721" s="36"/>
      <c r="AE721" s="36"/>
      <c r="AF721" s="42"/>
      <c r="AG721" s="36"/>
    </row>
    <row r="722" spans="2:33" s="44" customFormat="1" x14ac:dyDescent="0.3">
      <c r="B722" s="23"/>
      <c r="C722" s="40"/>
      <c r="D722" s="40"/>
      <c r="E722" s="41"/>
      <c r="F722" s="41"/>
      <c r="G722" s="41"/>
      <c r="H722" s="42"/>
      <c r="I722" s="42"/>
      <c r="J722" s="42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2"/>
      <c r="X722" s="42"/>
      <c r="Y722" s="42"/>
      <c r="Z722" s="42"/>
      <c r="AA722" s="42"/>
      <c r="AB722" s="42"/>
      <c r="AC722" s="36"/>
      <c r="AD722" s="36"/>
      <c r="AE722" s="36"/>
      <c r="AF722" s="42"/>
      <c r="AG722" s="36"/>
    </row>
    <row r="723" spans="2:33" s="44" customFormat="1" x14ac:dyDescent="0.3">
      <c r="B723" s="23"/>
      <c r="C723" s="40"/>
      <c r="D723" s="40"/>
      <c r="E723" s="41"/>
      <c r="F723" s="41"/>
      <c r="G723" s="41"/>
      <c r="H723" s="42"/>
      <c r="I723" s="42"/>
      <c r="J723" s="42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2"/>
      <c r="X723" s="42"/>
      <c r="Y723" s="42"/>
      <c r="Z723" s="42"/>
      <c r="AA723" s="42"/>
      <c r="AB723" s="42"/>
      <c r="AC723" s="36"/>
      <c r="AD723" s="36"/>
      <c r="AE723" s="36"/>
      <c r="AF723" s="42"/>
      <c r="AG723" s="36"/>
    </row>
    <row r="724" spans="2:33" s="44" customFormat="1" x14ac:dyDescent="0.3">
      <c r="B724" s="23"/>
      <c r="C724" s="40"/>
      <c r="D724" s="40"/>
      <c r="E724" s="41"/>
      <c r="F724" s="41"/>
      <c r="G724" s="41"/>
      <c r="H724" s="42"/>
      <c r="I724" s="42"/>
      <c r="J724" s="42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2"/>
      <c r="X724" s="42"/>
      <c r="Y724" s="42"/>
      <c r="Z724" s="42"/>
      <c r="AA724" s="42"/>
      <c r="AB724" s="42"/>
      <c r="AC724" s="36"/>
      <c r="AD724" s="36"/>
      <c r="AE724" s="36"/>
      <c r="AF724" s="42"/>
      <c r="AG724" s="36"/>
    </row>
    <row r="725" spans="2:33" s="44" customFormat="1" x14ac:dyDescent="0.3">
      <c r="B725" s="23"/>
      <c r="C725" s="40"/>
      <c r="D725" s="40"/>
      <c r="E725" s="41"/>
      <c r="F725" s="41"/>
      <c r="G725" s="41"/>
      <c r="H725" s="42"/>
      <c r="I725" s="42"/>
      <c r="J725" s="42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2"/>
      <c r="X725" s="42"/>
      <c r="Y725" s="42"/>
      <c r="Z725" s="42"/>
      <c r="AA725" s="42"/>
      <c r="AB725" s="42"/>
      <c r="AC725" s="36"/>
      <c r="AD725" s="36"/>
      <c r="AE725" s="36"/>
      <c r="AF725" s="42"/>
      <c r="AG725" s="36"/>
    </row>
    <row r="726" spans="2:33" s="44" customFormat="1" x14ac:dyDescent="0.3">
      <c r="B726" s="23"/>
      <c r="C726" s="40"/>
      <c r="D726" s="40"/>
      <c r="E726" s="41"/>
      <c r="F726" s="41"/>
      <c r="G726" s="41"/>
      <c r="H726" s="42"/>
      <c r="I726" s="42"/>
      <c r="J726" s="42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2"/>
      <c r="X726" s="42"/>
      <c r="Y726" s="42"/>
      <c r="Z726" s="42"/>
      <c r="AA726" s="42"/>
      <c r="AB726" s="42"/>
      <c r="AC726" s="36"/>
      <c r="AD726" s="36"/>
      <c r="AE726" s="36"/>
      <c r="AF726" s="42"/>
      <c r="AG726" s="36"/>
    </row>
    <row r="727" spans="2:33" s="44" customFormat="1" x14ac:dyDescent="0.3">
      <c r="B727" s="23"/>
      <c r="C727" s="40"/>
      <c r="D727" s="40"/>
      <c r="E727" s="41"/>
      <c r="F727" s="41"/>
      <c r="G727" s="41"/>
      <c r="H727" s="42"/>
      <c r="I727" s="42"/>
      <c r="J727" s="42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2"/>
      <c r="X727" s="42"/>
      <c r="Y727" s="42"/>
      <c r="Z727" s="42"/>
      <c r="AA727" s="42"/>
      <c r="AB727" s="42"/>
      <c r="AC727" s="36"/>
      <c r="AD727" s="36"/>
      <c r="AE727" s="36"/>
      <c r="AF727" s="42"/>
      <c r="AG727" s="36"/>
    </row>
    <row r="728" spans="2:33" s="44" customFormat="1" x14ac:dyDescent="0.3">
      <c r="B728" s="23"/>
      <c r="C728" s="40"/>
      <c r="D728" s="40"/>
      <c r="E728" s="41"/>
      <c r="F728" s="41"/>
      <c r="G728" s="41"/>
      <c r="H728" s="42"/>
      <c r="I728" s="42"/>
      <c r="J728" s="42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2"/>
      <c r="X728" s="42"/>
      <c r="Y728" s="42"/>
      <c r="Z728" s="42"/>
      <c r="AA728" s="42"/>
      <c r="AB728" s="42"/>
      <c r="AC728" s="36"/>
      <c r="AD728" s="36"/>
      <c r="AE728" s="36"/>
      <c r="AF728" s="42"/>
      <c r="AG728" s="36"/>
    </row>
    <row r="729" spans="2:33" s="44" customFormat="1" x14ac:dyDescent="0.3">
      <c r="B729" s="23"/>
      <c r="C729" s="40"/>
      <c r="D729" s="40"/>
      <c r="E729" s="41"/>
      <c r="F729" s="41"/>
      <c r="G729" s="41"/>
      <c r="H729" s="42"/>
      <c r="I729" s="42"/>
      <c r="J729" s="42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2"/>
      <c r="X729" s="42"/>
      <c r="Y729" s="42"/>
      <c r="Z729" s="42"/>
      <c r="AA729" s="42"/>
      <c r="AB729" s="42"/>
      <c r="AC729" s="36"/>
      <c r="AD729" s="36"/>
      <c r="AE729" s="36"/>
      <c r="AF729" s="42"/>
      <c r="AG729" s="36"/>
    </row>
    <row r="730" spans="2:33" s="44" customFormat="1" x14ac:dyDescent="0.3">
      <c r="B730" s="23"/>
      <c r="C730" s="40"/>
      <c r="D730" s="40"/>
      <c r="E730" s="41"/>
      <c r="F730" s="41"/>
      <c r="G730" s="41"/>
      <c r="H730" s="42"/>
      <c r="I730" s="42"/>
      <c r="J730" s="42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2"/>
      <c r="X730" s="42"/>
      <c r="Y730" s="42"/>
      <c r="Z730" s="42"/>
      <c r="AA730" s="42"/>
      <c r="AB730" s="42"/>
      <c r="AC730" s="36"/>
      <c r="AD730" s="36"/>
      <c r="AE730" s="36"/>
      <c r="AF730" s="42"/>
      <c r="AG730" s="36"/>
    </row>
    <row r="731" spans="2:33" s="44" customFormat="1" x14ac:dyDescent="0.3">
      <c r="B731" s="23"/>
      <c r="C731" s="40"/>
      <c r="D731" s="40"/>
      <c r="E731" s="41"/>
      <c r="F731" s="41"/>
      <c r="G731" s="41"/>
      <c r="H731" s="42"/>
      <c r="I731" s="42"/>
      <c r="J731" s="42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2"/>
      <c r="X731" s="42"/>
      <c r="Y731" s="42"/>
      <c r="Z731" s="42"/>
      <c r="AA731" s="42"/>
      <c r="AB731" s="42"/>
      <c r="AC731" s="36"/>
      <c r="AD731" s="36"/>
      <c r="AE731" s="36"/>
      <c r="AF731" s="42"/>
      <c r="AG731" s="36"/>
    </row>
    <row r="732" spans="2:33" s="44" customFormat="1" x14ac:dyDescent="0.3">
      <c r="B732" s="23"/>
      <c r="C732" s="40"/>
      <c r="D732" s="40"/>
      <c r="E732" s="41"/>
      <c r="F732" s="41"/>
      <c r="G732" s="41"/>
      <c r="H732" s="42"/>
      <c r="I732" s="42"/>
      <c r="J732" s="42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2"/>
      <c r="X732" s="42"/>
      <c r="Y732" s="42"/>
      <c r="Z732" s="42"/>
      <c r="AA732" s="42"/>
      <c r="AB732" s="42"/>
      <c r="AC732" s="36"/>
      <c r="AD732" s="36"/>
      <c r="AE732" s="36"/>
      <c r="AF732" s="42"/>
      <c r="AG732" s="36"/>
    </row>
    <row r="733" spans="2:33" s="44" customFormat="1" x14ac:dyDescent="0.3">
      <c r="B733" s="23"/>
      <c r="C733" s="40"/>
      <c r="D733" s="40"/>
      <c r="E733" s="41"/>
      <c r="F733" s="41"/>
      <c r="G733" s="41"/>
      <c r="H733" s="42"/>
      <c r="I733" s="42"/>
      <c r="J733" s="42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2"/>
      <c r="X733" s="42"/>
      <c r="Y733" s="42"/>
      <c r="Z733" s="42"/>
      <c r="AA733" s="42"/>
      <c r="AB733" s="42"/>
      <c r="AC733" s="36"/>
      <c r="AD733" s="36"/>
      <c r="AE733" s="36"/>
      <c r="AF733" s="42"/>
      <c r="AG733" s="36"/>
    </row>
    <row r="734" spans="2:33" s="44" customFormat="1" x14ac:dyDescent="0.3">
      <c r="B734" s="23"/>
      <c r="C734" s="40"/>
      <c r="D734" s="40"/>
      <c r="E734" s="41"/>
      <c r="F734" s="41"/>
      <c r="G734" s="41"/>
      <c r="H734" s="42"/>
      <c r="I734" s="42"/>
      <c r="J734" s="42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2"/>
      <c r="X734" s="42"/>
      <c r="Y734" s="42"/>
      <c r="Z734" s="42"/>
      <c r="AA734" s="42"/>
      <c r="AB734" s="42"/>
      <c r="AC734" s="36"/>
      <c r="AD734" s="36"/>
      <c r="AE734" s="36"/>
      <c r="AF734" s="42"/>
      <c r="AG734" s="36"/>
    </row>
    <row r="735" spans="2:33" s="44" customFormat="1" x14ac:dyDescent="0.3">
      <c r="B735" s="23"/>
      <c r="C735" s="40"/>
      <c r="D735" s="40"/>
      <c r="E735" s="41"/>
      <c r="F735" s="41"/>
      <c r="G735" s="41"/>
      <c r="H735" s="42"/>
      <c r="I735" s="42"/>
      <c r="J735" s="42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2"/>
      <c r="X735" s="42"/>
      <c r="Y735" s="42"/>
      <c r="Z735" s="42"/>
      <c r="AA735" s="42"/>
      <c r="AB735" s="42"/>
      <c r="AC735" s="36"/>
      <c r="AD735" s="36"/>
      <c r="AE735" s="36"/>
      <c r="AF735" s="42"/>
      <c r="AG735" s="36"/>
    </row>
    <row r="736" spans="2:33" s="44" customFormat="1" x14ac:dyDescent="0.3">
      <c r="B736" s="23"/>
      <c r="C736" s="40"/>
      <c r="D736" s="40"/>
      <c r="E736" s="41"/>
      <c r="F736" s="41"/>
      <c r="G736" s="41"/>
      <c r="H736" s="42"/>
      <c r="I736" s="42"/>
      <c r="J736" s="42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2"/>
      <c r="X736" s="42"/>
      <c r="Y736" s="42"/>
      <c r="Z736" s="42"/>
      <c r="AA736" s="42"/>
      <c r="AB736" s="42"/>
      <c r="AC736" s="36"/>
      <c r="AD736" s="36"/>
      <c r="AE736" s="36"/>
      <c r="AF736" s="42"/>
      <c r="AG736" s="36"/>
    </row>
    <row r="737" spans="2:33" s="44" customFormat="1" x14ac:dyDescent="0.3">
      <c r="B737" s="23"/>
      <c r="C737" s="40"/>
      <c r="D737" s="40"/>
      <c r="E737" s="41"/>
      <c r="F737" s="41"/>
      <c r="G737" s="41"/>
      <c r="H737" s="42"/>
      <c r="I737" s="42"/>
      <c r="J737" s="42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2"/>
      <c r="X737" s="42"/>
      <c r="Y737" s="42"/>
      <c r="Z737" s="42"/>
      <c r="AA737" s="42"/>
      <c r="AB737" s="42"/>
      <c r="AC737" s="36"/>
      <c r="AD737" s="36"/>
      <c r="AE737" s="36"/>
      <c r="AF737" s="42"/>
      <c r="AG737" s="36"/>
    </row>
    <row r="738" spans="2:33" s="44" customFormat="1" x14ac:dyDescent="0.3">
      <c r="B738" s="23"/>
      <c r="C738" s="40"/>
      <c r="D738" s="40"/>
      <c r="E738" s="41"/>
      <c r="F738" s="41"/>
      <c r="G738" s="41"/>
      <c r="H738" s="42"/>
      <c r="I738" s="42"/>
      <c r="J738" s="42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2"/>
      <c r="X738" s="42"/>
      <c r="Y738" s="42"/>
      <c r="Z738" s="42"/>
      <c r="AA738" s="42"/>
      <c r="AB738" s="42"/>
      <c r="AC738" s="36"/>
      <c r="AD738" s="36"/>
      <c r="AE738" s="36"/>
      <c r="AF738" s="42"/>
      <c r="AG738" s="36"/>
    </row>
    <row r="739" spans="2:33" s="44" customFormat="1" x14ac:dyDescent="0.3">
      <c r="B739" s="23"/>
      <c r="C739" s="40"/>
      <c r="D739" s="40"/>
      <c r="E739" s="41"/>
      <c r="F739" s="41"/>
      <c r="G739" s="41"/>
      <c r="H739" s="42"/>
      <c r="I739" s="42"/>
      <c r="J739" s="42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2"/>
      <c r="X739" s="42"/>
      <c r="Y739" s="42"/>
      <c r="Z739" s="42"/>
      <c r="AA739" s="42"/>
      <c r="AB739" s="42"/>
      <c r="AC739" s="36"/>
      <c r="AD739" s="36"/>
      <c r="AE739" s="36"/>
      <c r="AF739" s="42"/>
      <c r="AG739" s="36"/>
    </row>
    <row r="740" spans="2:33" s="44" customFormat="1" x14ac:dyDescent="0.3">
      <c r="B740" s="23"/>
      <c r="C740" s="40"/>
      <c r="D740" s="40"/>
      <c r="E740" s="41"/>
      <c r="F740" s="41"/>
      <c r="G740" s="41"/>
      <c r="H740" s="42"/>
      <c r="I740" s="42"/>
      <c r="J740" s="42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2"/>
      <c r="X740" s="42"/>
      <c r="Y740" s="42"/>
      <c r="Z740" s="42"/>
      <c r="AA740" s="42"/>
      <c r="AB740" s="42"/>
      <c r="AC740" s="36"/>
      <c r="AD740" s="36"/>
      <c r="AE740" s="36"/>
      <c r="AF740" s="42"/>
      <c r="AG740" s="36"/>
    </row>
    <row r="741" spans="2:33" s="44" customFormat="1" x14ac:dyDescent="0.3">
      <c r="B741" s="23"/>
      <c r="C741" s="40"/>
      <c r="D741" s="40"/>
      <c r="E741" s="41"/>
      <c r="F741" s="41"/>
      <c r="G741" s="41"/>
      <c r="H741" s="42"/>
      <c r="I741" s="42"/>
      <c r="J741" s="42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2"/>
      <c r="X741" s="42"/>
      <c r="Y741" s="42"/>
      <c r="Z741" s="42"/>
      <c r="AA741" s="42"/>
      <c r="AB741" s="42"/>
      <c r="AC741" s="36"/>
      <c r="AD741" s="36"/>
      <c r="AE741" s="36"/>
      <c r="AF741" s="42"/>
      <c r="AG741" s="36"/>
    </row>
    <row r="742" spans="2:33" s="44" customFormat="1" x14ac:dyDescent="0.3">
      <c r="B742" s="23"/>
      <c r="C742" s="40"/>
      <c r="D742" s="40"/>
      <c r="E742" s="41"/>
      <c r="F742" s="41"/>
      <c r="G742" s="41"/>
      <c r="H742" s="42"/>
      <c r="I742" s="42"/>
      <c r="J742" s="42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2"/>
      <c r="X742" s="42"/>
      <c r="Y742" s="42"/>
      <c r="Z742" s="42"/>
      <c r="AA742" s="42"/>
      <c r="AB742" s="42"/>
      <c r="AC742" s="36"/>
      <c r="AD742" s="36"/>
      <c r="AE742" s="36"/>
      <c r="AF742" s="42"/>
      <c r="AG742" s="36"/>
    </row>
    <row r="743" spans="2:33" s="44" customFormat="1" x14ac:dyDescent="0.3">
      <c r="B743" s="23"/>
      <c r="C743" s="40"/>
      <c r="D743" s="40"/>
      <c r="E743" s="41"/>
      <c r="F743" s="41"/>
      <c r="G743" s="41"/>
      <c r="H743" s="42"/>
      <c r="I743" s="42"/>
      <c r="J743" s="42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2"/>
      <c r="X743" s="42"/>
      <c r="Y743" s="42"/>
      <c r="Z743" s="42"/>
      <c r="AA743" s="42"/>
      <c r="AB743" s="42"/>
      <c r="AC743" s="36"/>
      <c r="AD743" s="36"/>
      <c r="AE743" s="36"/>
      <c r="AF743" s="42"/>
      <c r="AG743" s="36"/>
    </row>
    <row r="744" spans="2:33" s="44" customFormat="1" x14ac:dyDescent="0.3">
      <c r="B744" s="23"/>
      <c r="C744" s="40"/>
      <c r="D744" s="40"/>
      <c r="E744" s="41"/>
      <c r="F744" s="41"/>
      <c r="G744" s="41"/>
      <c r="H744" s="42"/>
      <c r="I744" s="42"/>
      <c r="J744" s="42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2"/>
      <c r="X744" s="42"/>
      <c r="Y744" s="42"/>
      <c r="Z744" s="42"/>
      <c r="AA744" s="42"/>
      <c r="AB744" s="42"/>
      <c r="AC744" s="36"/>
      <c r="AD744" s="36"/>
      <c r="AE744" s="36"/>
      <c r="AF744" s="42"/>
      <c r="AG744" s="36"/>
    </row>
    <row r="745" spans="2:33" s="44" customFormat="1" x14ac:dyDescent="0.3">
      <c r="B745" s="23"/>
      <c r="C745" s="40"/>
      <c r="D745" s="40"/>
      <c r="E745" s="41"/>
      <c r="F745" s="41"/>
      <c r="G745" s="41"/>
      <c r="H745" s="42"/>
      <c r="I745" s="42"/>
      <c r="J745" s="42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2"/>
      <c r="X745" s="42"/>
      <c r="Y745" s="42"/>
      <c r="Z745" s="42"/>
      <c r="AA745" s="42"/>
      <c r="AB745" s="42"/>
      <c r="AC745" s="36"/>
      <c r="AD745" s="36"/>
      <c r="AE745" s="36"/>
      <c r="AF745" s="42"/>
      <c r="AG745" s="36"/>
    </row>
    <row r="746" spans="2:33" s="44" customFormat="1" x14ac:dyDescent="0.3">
      <c r="B746" s="23"/>
      <c r="C746" s="40"/>
      <c r="D746" s="40"/>
      <c r="E746" s="41"/>
      <c r="F746" s="41"/>
      <c r="G746" s="41"/>
      <c r="H746" s="42"/>
      <c r="I746" s="42"/>
      <c r="J746" s="42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2"/>
      <c r="X746" s="42"/>
      <c r="Y746" s="42"/>
      <c r="Z746" s="42"/>
      <c r="AA746" s="42"/>
      <c r="AB746" s="42"/>
      <c r="AC746" s="36"/>
      <c r="AD746" s="36"/>
      <c r="AE746" s="36"/>
      <c r="AF746" s="42"/>
      <c r="AG746" s="36"/>
    </row>
    <row r="747" spans="2:33" s="44" customFormat="1" x14ac:dyDescent="0.3">
      <c r="B747" s="23"/>
      <c r="C747" s="40"/>
      <c r="D747" s="40"/>
      <c r="E747" s="41"/>
      <c r="F747" s="41"/>
      <c r="G747" s="41"/>
      <c r="H747" s="42"/>
      <c r="I747" s="42"/>
      <c r="J747" s="42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2"/>
      <c r="X747" s="42"/>
      <c r="Y747" s="42"/>
      <c r="Z747" s="42"/>
      <c r="AA747" s="42"/>
      <c r="AB747" s="42"/>
      <c r="AC747" s="36"/>
      <c r="AD747" s="36"/>
      <c r="AE747" s="36"/>
      <c r="AF747" s="42"/>
      <c r="AG747" s="36"/>
    </row>
    <row r="748" spans="2:33" s="44" customFormat="1" x14ac:dyDescent="0.3">
      <c r="B748" s="23"/>
      <c r="C748" s="40"/>
      <c r="D748" s="40"/>
      <c r="E748" s="41"/>
      <c r="F748" s="41"/>
      <c r="G748" s="41"/>
      <c r="H748" s="42"/>
      <c r="I748" s="42"/>
      <c r="J748" s="42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2"/>
      <c r="X748" s="42"/>
      <c r="Y748" s="42"/>
      <c r="Z748" s="42"/>
      <c r="AA748" s="42"/>
      <c r="AB748" s="42"/>
      <c r="AC748" s="36"/>
      <c r="AD748" s="36"/>
      <c r="AE748" s="36"/>
      <c r="AF748" s="42"/>
      <c r="AG748" s="36"/>
    </row>
    <row r="749" spans="2:33" s="44" customFormat="1" x14ac:dyDescent="0.3">
      <c r="B749" s="23"/>
      <c r="C749" s="40"/>
      <c r="D749" s="40"/>
      <c r="E749" s="41"/>
      <c r="F749" s="41"/>
      <c r="G749" s="41"/>
      <c r="H749" s="42"/>
      <c r="I749" s="42"/>
      <c r="J749" s="42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2"/>
      <c r="X749" s="42"/>
      <c r="Y749" s="42"/>
      <c r="Z749" s="42"/>
      <c r="AA749" s="42"/>
      <c r="AB749" s="42"/>
      <c r="AC749" s="36"/>
      <c r="AD749" s="36"/>
      <c r="AE749" s="36"/>
      <c r="AF749" s="42"/>
      <c r="AG749" s="36"/>
    </row>
    <row r="750" spans="2:33" s="44" customFormat="1" x14ac:dyDescent="0.3">
      <c r="B750" s="23"/>
      <c r="C750" s="40"/>
      <c r="D750" s="40"/>
      <c r="E750" s="41"/>
      <c r="F750" s="41"/>
      <c r="G750" s="41"/>
      <c r="H750" s="42"/>
      <c r="I750" s="42"/>
      <c r="J750" s="42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2"/>
      <c r="X750" s="42"/>
      <c r="Y750" s="42"/>
      <c r="Z750" s="42"/>
      <c r="AA750" s="42"/>
      <c r="AB750" s="42"/>
      <c r="AC750" s="36"/>
      <c r="AD750" s="36"/>
      <c r="AE750" s="36"/>
      <c r="AF750" s="42"/>
      <c r="AG750" s="36"/>
    </row>
    <row r="751" spans="2:33" s="44" customFormat="1" x14ac:dyDescent="0.3">
      <c r="B751" s="23"/>
      <c r="C751" s="40"/>
      <c r="D751" s="40"/>
      <c r="E751" s="41"/>
      <c r="F751" s="41"/>
      <c r="G751" s="41"/>
      <c r="H751" s="42"/>
      <c r="I751" s="42"/>
      <c r="J751" s="42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2"/>
      <c r="X751" s="42"/>
      <c r="Y751" s="42"/>
      <c r="Z751" s="42"/>
      <c r="AA751" s="42"/>
      <c r="AB751" s="42"/>
      <c r="AC751" s="36"/>
      <c r="AD751" s="36"/>
      <c r="AE751" s="36"/>
      <c r="AF751" s="42"/>
      <c r="AG751" s="36"/>
    </row>
    <row r="752" spans="2:33" s="44" customFormat="1" x14ac:dyDescent="0.3">
      <c r="B752" s="23"/>
      <c r="C752" s="40"/>
      <c r="D752" s="40"/>
      <c r="E752" s="41"/>
      <c r="F752" s="41"/>
      <c r="G752" s="41"/>
      <c r="H752" s="42"/>
      <c r="I752" s="42"/>
      <c r="J752" s="42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2"/>
      <c r="X752" s="42"/>
      <c r="Y752" s="42"/>
      <c r="Z752" s="42"/>
      <c r="AA752" s="42"/>
      <c r="AB752" s="42"/>
      <c r="AC752" s="36"/>
      <c r="AD752" s="36"/>
      <c r="AE752" s="36"/>
      <c r="AF752" s="42"/>
      <c r="AG752" s="36"/>
    </row>
    <row r="753" spans="2:33" s="44" customFormat="1" x14ac:dyDescent="0.3">
      <c r="B753" s="23"/>
      <c r="C753" s="40"/>
      <c r="D753" s="40"/>
      <c r="E753" s="41"/>
      <c r="F753" s="41"/>
      <c r="G753" s="41"/>
      <c r="H753" s="42"/>
      <c r="I753" s="42"/>
      <c r="J753" s="42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2"/>
      <c r="X753" s="42"/>
      <c r="Y753" s="42"/>
      <c r="Z753" s="42"/>
      <c r="AA753" s="42"/>
      <c r="AB753" s="42"/>
      <c r="AC753" s="36"/>
      <c r="AD753" s="36"/>
      <c r="AE753" s="36"/>
      <c r="AF753" s="42"/>
      <c r="AG753" s="36"/>
    </row>
    <row r="754" spans="2:33" s="44" customFormat="1" x14ac:dyDescent="0.3">
      <c r="B754" s="23"/>
      <c r="C754" s="40"/>
      <c r="D754" s="40"/>
      <c r="E754" s="41"/>
      <c r="F754" s="41"/>
      <c r="G754" s="41"/>
      <c r="H754" s="42"/>
      <c r="I754" s="42"/>
      <c r="J754" s="42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2"/>
      <c r="X754" s="42"/>
      <c r="Y754" s="42"/>
      <c r="Z754" s="42"/>
      <c r="AA754" s="42"/>
      <c r="AB754" s="42"/>
      <c r="AC754" s="36"/>
      <c r="AD754" s="36"/>
      <c r="AE754" s="36"/>
      <c r="AF754" s="42"/>
      <c r="AG754" s="36"/>
    </row>
    <row r="755" spans="2:33" s="44" customFormat="1" x14ac:dyDescent="0.3">
      <c r="B755" s="23"/>
      <c r="C755" s="40"/>
      <c r="D755" s="40"/>
      <c r="E755" s="41"/>
      <c r="F755" s="41"/>
      <c r="G755" s="41"/>
      <c r="H755" s="42"/>
      <c r="I755" s="42"/>
      <c r="J755" s="42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2"/>
      <c r="X755" s="42"/>
      <c r="Y755" s="42"/>
      <c r="Z755" s="42"/>
      <c r="AA755" s="42"/>
      <c r="AB755" s="42"/>
      <c r="AC755" s="36"/>
      <c r="AD755" s="36"/>
      <c r="AE755" s="36"/>
      <c r="AF755" s="42"/>
      <c r="AG755" s="36"/>
    </row>
    <row r="756" spans="2:33" s="44" customFormat="1" x14ac:dyDescent="0.3">
      <c r="B756" s="23"/>
      <c r="C756" s="40"/>
      <c r="D756" s="40"/>
      <c r="E756" s="41"/>
      <c r="F756" s="41"/>
      <c r="G756" s="41"/>
      <c r="H756" s="42"/>
      <c r="I756" s="42"/>
      <c r="J756" s="42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2"/>
      <c r="X756" s="42"/>
      <c r="Y756" s="42"/>
      <c r="Z756" s="42"/>
      <c r="AA756" s="42"/>
      <c r="AB756" s="42"/>
      <c r="AC756" s="36"/>
      <c r="AD756" s="36"/>
      <c r="AE756" s="36"/>
      <c r="AF756" s="42"/>
      <c r="AG756" s="36"/>
    </row>
    <row r="757" spans="2:33" s="44" customFormat="1" x14ac:dyDescent="0.3">
      <c r="B757" s="23"/>
      <c r="C757" s="40"/>
      <c r="D757" s="40"/>
      <c r="E757" s="41"/>
      <c r="F757" s="41"/>
      <c r="G757" s="41"/>
      <c r="H757" s="42"/>
      <c r="I757" s="42"/>
      <c r="J757" s="42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2"/>
      <c r="X757" s="42"/>
      <c r="Y757" s="42"/>
      <c r="Z757" s="42"/>
      <c r="AA757" s="42"/>
      <c r="AB757" s="42"/>
      <c r="AC757" s="36"/>
      <c r="AD757" s="36"/>
      <c r="AE757" s="36"/>
      <c r="AF757" s="42"/>
      <c r="AG757" s="36"/>
    </row>
    <row r="758" spans="2:33" s="44" customFormat="1" x14ac:dyDescent="0.3">
      <c r="B758" s="23"/>
      <c r="C758" s="40"/>
      <c r="D758" s="40"/>
      <c r="E758" s="41"/>
      <c r="F758" s="41"/>
      <c r="G758" s="41"/>
      <c r="H758" s="42"/>
      <c r="I758" s="42"/>
      <c r="J758" s="42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2"/>
      <c r="X758" s="42"/>
      <c r="Y758" s="42"/>
      <c r="Z758" s="42"/>
      <c r="AA758" s="42"/>
      <c r="AB758" s="42"/>
      <c r="AC758" s="36"/>
      <c r="AD758" s="36"/>
      <c r="AE758" s="36"/>
      <c r="AF758" s="42"/>
      <c r="AG758" s="36"/>
    </row>
    <row r="759" spans="2:33" s="44" customFormat="1" x14ac:dyDescent="0.3">
      <c r="B759" s="23"/>
      <c r="C759" s="40"/>
      <c r="D759" s="40"/>
      <c r="E759" s="41"/>
      <c r="F759" s="41"/>
      <c r="G759" s="41"/>
      <c r="H759" s="42"/>
      <c r="I759" s="42"/>
      <c r="J759" s="42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2"/>
      <c r="X759" s="42"/>
      <c r="Y759" s="42"/>
      <c r="Z759" s="42"/>
      <c r="AA759" s="42"/>
      <c r="AB759" s="42"/>
      <c r="AC759" s="36"/>
      <c r="AD759" s="36"/>
      <c r="AE759" s="36"/>
      <c r="AF759" s="42"/>
      <c r="AG759" s="36"/>
    </row>
    <row r="760" spans="2:33" s="44" customFormat="1" x14ac:dyDescent="0.3">
      <c r="B760" s="23"/>
      <c r="C760" s="40"/>
      <c r="D760" s="40"/>
      <c r="E760" s="41"/>
      <c r="F760" s="41"/>
      <c r="G760" s="41"/>
      <c r="H760" s="42"/>
      <c r="I760" s="42"/>
      <c r="J760" s="42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2"/>
      <c r="X760" s="42"/>
      <c r="Y760" s="42"/>
      <c r="Z760" s="42"/>
      <c r="AA760" s="42"/>
      <c r="AB760" s="42"/>
      <c r="AC760" s="36"/>
      <c r="AD760" s="36"/>
      <c r="AE760" s="36"/>
      <c r="AF760" s="42"/>
      <c r="AG760" s="36"/>
    </row>
    <row r="761" spans="2:33" s="44" customFormat="1" x14ac:dyDescent="0.3">
      <c r="B761" s="23"/>
      <c r="C761" s="40"/>
      <c r="D761" s="40"/>
      <c r="E761" s="41"/>
      <c r="F761" s="41"/>
      <c r="G761" s="41"/>
      <c r="H761" s="42"/>
      <c r="I761" s="42"/>
      <c r="J761" s="42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2"/>
      <c r="X761" s="42"/>
      <c r="Y761" s="42"/>
      <c r="Z761" s="42"/>
      <c r="AA761" s="42"/>
      <c r="AB761" s="42"/>
      <c r="AC761" s="36"/>
      <c r="AD761" s="36"/>
      <c r="AE761" s="36"/>
      <c r="AF761" s="42"/>
      <c r="AG761" s="36"/>
    </row>
    <row r="762" spans="2:33" s="44" customFormat="1" x14ac:dyDescent="0.3">
      <c r="B762" s="23"/>
      <c r="C762" s="40"/>
      <c r="D762" s="40"/>
      <c r="E762" s="41"/>
      <c r="F762" s="41"/>
      <c r="G762" s="41"/>
      <c r="H762" s="42"/>
      <c r="I762" s="42"/>
      <c r="J762" s="42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2"/>
      <c r="X762" s="42"/>
      <c r="Y762" s="42"/>
      <c r="Z762" s="42"/>
      <c r="AA762" s="42"/>
      <c r="AB762" s="42"/>
      <c r="AC762" s="36"/>
      <c r="AD762" s="36"/>
      <c r="AE762" s="36"/>
      <c r="AF762" s="42"/>
      <c r="AG762" s="36"/>
    </row>
    <row r="763" spans="2:33" s="44" customFormat="1" x14ac:dyDescent="0.3">
      <c r="B763" s="23"/>
      <c r="C763" s="40"/>
      <c r="D763" s="40"/>
      <c r="E763" s="41"/>
      <c r="F763" s="41"/>
      <c r="G763" s="41"/>
      <c r="H763" s="42"/>
      <c r="I763" s="42"/>
      <c r="J763" s="42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2"/>
      <c r="X763" s="42"/>
      <c r="Y763" s="42"/>
      <c r="Z763" s="42"/>
      <c r="AA763" s="42"/>
      <c r="AB763" s="42"/>
      <c r="AC763" s="36"/>
      <c r="AD763" s="36"/>
      <c r="AE763" s="36"/>
      <c r="AF763" s="42"/>
      <c r="AG763" s="36"/>
    </row>
    <row r="764" spans="2:33" s="44" customFormat="1" x14ac:dyDescent="0.3">
      <c r="B764" s="23"/>
      <c r="C764" s="40"/>
      <c r="D764" s="40"/>
      <c r="E764" s="41"/>
      <c r="F764" s="41"/>
      <c r="G764" s="41"/>
      <c r="H764" s="42"/>
      <c r="I764" s="42"/>
      <c r="J764" s="42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2"/>
      <c r="X764" s="42"/>
      <c r="Y764" s="42"/>
      <c r="Z764" s="42"/>
      <c r="AA764" s="42"/>
      <c r="AB764" s="42"/>
      <c r="AC764" s="36"/>
      <c r="AD764" s="36"/>
      <c r="AE764" s="36"/>
      <c r="AF764" s="42"/>
      <c r="AG764" s="36"/>
    </row>
    <row r="765" spans="2:33" s="44" customFormat="1" x14ac:dyDescent="0.3">
      <c r="B765" s="23"/>
      <c r="C765" s="40"/>
      <c r="D765" s="40"/>
      <c r="E765" s="41"/>
      <c r="F765" s="41"/>
      <c r="G765" s="41"/>
      <c r="H765" s="42"/>
      <c r="I765" s="42"/>
      <c r="J765" s="42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2"/>
      <c r="X765" s="42"/>
      <c r="Y765" s="42"/>
      <c r="Z765" s="42"/>
      <c r="AA765" s="42"/>
      <c r="AB765" s="42"/>
      <c r="AC765" s="36"/>
      <c r="AD765" s="36"/>
      <c r="AE765" s="36"/>
      <c r="AF765" s="42"/>
      <c r="AG765" s="36"/>
    </row>
    <row r="766" spans="2:33" s="44" customFormat="1" x14ac:dyDescent="0.3">
      <c r="B766" s="23"/>
      <c r="C766" s="40"/>
      <c r="D766" s="40"/>
      <c r="E766" s="41"/>
      <c r="F766" s="41"/>
      <c r="G766" s="41"/>
      <c r="H766" s="42"/>
      <c r="I766" s="42"/>
      <c r="J766" s="42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2"/>
      <c r="X766" s="42"/>
      <c r="Y766" s="42"/>
      <c r="Z766" s="42"/>
      <c r="AA766" s="42"/>
      <c r="AB766" s="42"/>
      <c r="AC766" s="36"/>
      <c r="AD766" s="36"/>
      <c r="AE766" s="36"/>
      <c r="AF766" s="42"/>
      <c r="AG766" s="36"/>
    </row>
    <row r="767" spans="2:33" s="44" customFormat="1" x14ac:dyDescent="0.3">
      <c r="B767" s="23"/>
      <c r="C767" s="40"/>
      <c r="D767" s="40"/>
      <c r="E767" s="41"/>
      <c r="F767" s="41"/>
      <c r="G767" s="41"/>
      <c r="H767" s="42"/>
      <c r="I767" s="42"/>
      <c r="J767" s="42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2"/>
      <c r="X767" s="42"/>
      <c r="Y767" s="42"/>
      <c r="Z767" s="42"/>
      <c r="AA767" s="42"/>
      <c r="AB767" s="42"/>
      <c r="AC767" s="36"/>
      <c r="AD767" s="36"/>
      <c r="AE767" s="36"/>
      <c r="AF767" s="42"/>
      <c r="AG767" s="36"/>
    </row>
    <row r="768" spans="2:33" s="44" customFormat="1" x14ac:dyDescent="0.3">
      <c r="B768" s="23"/>
      <c r="C768" s="40"/>
      <c r="D768" s="40"/>
      <c r="E768" s="41"/>
      <c r="F768" s="41"/>
      <c r="G768" s="41"/>
      <c r="H768" s="42"/>
      <c r="I768" s="42"/>
      <c r="J768" s="42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2"/>
      <c r="X768" s="42"/>
      <c r="Y768" s="42"/>
      <c r="Z768" s="42"/>
      <c r="AA768" s="42"/>
      <c r="AB768" s="42"/>
      <c r="AC768" s="36"/>
      <c r="AD768" s="36"/>
      <c r="AE768" s="36"/>
      <c r="AF768" s="42"/>
      <c r="AG768" s="36"/>
    </row>
    <row r="769" spans="2:33" s="44" customFormat="1" x14ac:dyDescent="0.3">
      <c r="B769" s="23"/>
      <c r="C769" s="40"/>
      <c r="D769" s="40"/>
      <c r="E769" s="41"/>
      <c r="F769" s="41"/>
      <c r="G769" s="41"/>
      <c r="H769" s="42"/>
      <c r="I769" s="42"/>
      <c r="J769" s="42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2"/>
      <c r="X769" s="42"/>
      <c r="Y769" s="42"/>
      <c r="Z769" s="42"/>
      <c r="AA769" s="42"/>
      <c r="AB769" s="42"/>
      <c r="AC769" s="36"/>
      <c r="AD769" s="36"/>
      <c r="AE769" s="36"/>
      <c r="AF769" s="42"/>
      <c r="AG769" s="36"/>
    </row>
    <row r="770" spans="2:33" s="44" customFormat="1" x14ac:dyDescent="0.3">
      <c r="B770" s="23"/>
      <c r="C770" s="40"/>
      <c r="D770" s="40"/>
      <c r="E770" s="41"/>
      <c r="F770" s="41"/>
      <c r="G770" s="41"/>
      <c r="H770" s="42"/>
      <c r="I770" s="42"/>
      <c r="J770" s="42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2"/>
      <c r="X770" s="42"/>
      <c r="Y770" s="42"/>
      <c r="Z770" s="42"/>
      <c r="AA770" s="42"/>
      <c r="AB770" s="42"/>
      <c r="AC770" s="36"/>
      <c r="AD770" s="36"/>
      <c r="AE770" s="36"/>
      <c r="AF770" s="42"/>
      <c r="AG770" s="36"/>
    </row>
    <row r="771" spans="2:33" s="44" customFormat="1" x14ac:dyDescent="0.3">
      <c r="B771" s="23"/>
      <c r="C771" s="40"/>
      <c r="D771" s="40"/>
      <c r="E771" s="41"/>
      <c r="F771" s="41"/>
      <c r="G771" s="41"/>
      <c r="H771" s="42"/>
      <c r="I771" s="42"/>
      <c r="J771" s="42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2"/>
      <c r="X771" s="42"/>
      <c r="Y771" s="42"/>
      <c r="Z771" s="42"/>
      <c r="AA771" s="42"/>
      <c r="AB771" s="42"/>
      <c r="AC771" s="36"/>
      <c r="AD771" s="36"/>
      <c r="AE771" s="36"/>
      <c r="AF771" s="42"/>
      <c r="AG771" s="36"/>
    </row>
    <row r="772" spans="2:33" s="44" customFormat="1" x14ac:dyDescent="0.3">
      <c r="B772" s="23"/>
      <c r="C772" s="40"/>
      <c r="D772" s="40"/>
      <c r="E772" s="41"/>
      <c r="F772" s="41"/>
      <c r="G772" s="41"/>
      <c r="H772" s="42"/>
      <c r="I772" s="42"/>
      <c r="J772" s="42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2"/>
      <c r="X772" s="42"/>
      <c r="Y772" s="42"/>
      <c r="Z772" s="42"/>
      <c r="AA772" s="42"/>
      <c r="AB772" s="42"/>
      <c r="AC772" s="36"/>
      <c r="AD772" s="36"/>
      <c r="AE772" s="36"/>
      <c r="AF772" s="42"/>
      <c r="AG772" s="36"/>
    </row>
    <row r="773" spans="2:33" s="44" customFormat="1" x14ac:dyDescent="0.3">
      <c r="B773" s="23"/>
      <c r="C773" s="40"/>
      <c r="D773" s="40"/>
      <c r="E773" s="41"/>
      <c r="F773" s="41"/>
      <c r="G773" s="41"/>
      <c r="H773" s="42"/>
      <c r="I773" s="42"/>
      <c r="J773" s="42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2"/>
      <c r="X773" s="42"/>
      <c r="Y773" s="42"/>
      <c r="Z773" s="42"/>
      <c r="AA773" s="42"/>
      <c r="AB773" s="42"/>
      <c r="AC773" s="36"/>
      <c r="AD773" s="36"/>
      <c r="AE773" s="36"/>
      <c r="AF773" s="42"/>
      <c r="AG773" s="36"/>
    </row>
    <row r="774" spans="2:33" s="44" customFormat="1" x14ac:dyDescent="0.3">
      <c r="B774" s="23"/>
      <c r="C774" s="40"/>
      <c r="D774" s="40"/>
      <c r="E774" s="41"/>
      <c r="F774" s="41"/>
      <c r="G774" s="41"/>
      <c r="H774" s="42"/>
      <c r="I774" s="42"/>
      <c r="J774" s="42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2"/>
      <c r="X774" s="42"/>
      <c r="Y774" s="42"/>
      <c r="Z774" s="42"/>
      <c r="AA774" s="42"/>
      <c r="AB774" s="42"/>
      <c r="AC774" s="36"/>
      <c r="AD774" s="36"/>
      <c r="AE774" s="36"/>
      <c r="AF774" s="42"/>
      <c r="AG774" s="36"/>
    </row>
    <row r="775" spans="2:33" s="44" customFormat="1" x14ac:dyDescent="0.3">
      <c r="B775" s="23"/>
      <c r="C775" s="40"/>
      <c r="D775" s="40"/>
      <c r="E775" s="41"/>
      <c r="F775" s="41"/>
      <c r="G775" s="41"/>
      <c r="H775" s="42"/>
      <c r="I775" s="42"/>
      <c r="J775" s="42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2"/>
      <c r="X775" s="42"/>
      <c r="Y775" s="42"/>
      <c r="Z775" s="42"/>
      <c r="AA775" s="42"/>
      <c r="AB775" s="42"/>
      <c r="AC775" s="36"/>
      <c r="AD775" s="36"/>
      <c r="AE775" s="36"/>
      <c r="AF775" s="42"/>
      <c r="AG775" s="36"/>
    </row>
    <row r="776" spans="2:33" s="44" customFormat="1" x14ac:dyDescent="0.3">
      <c r="B776" s="23"/>
      <c r="C776" s="40"/>
      <c r="D776" s="40"/>
      <c r="E776" s="41"/>
      <c r="F776" s="41"/>
      <c r="G776" s="41"/>
      <c r="H776" s="42"/>
      <c r="I776" s="42"/>
      <c r="J776" s="42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2"/>
      <c r="X776" s="42"/>
      <c r="Y776" s="42"/>
      <c r="Z776" s="42"/>
      <c r="AA776" s="42"/>
      <c r="AB776" s="42"/>
      <c r="AC776" s="36"/>
      <c r="AD776" s="36"/>
      <c r="AE776" s="36"/>
      <c r="AF776" s="42"/>
      <c r="AG776" s="36"/>
    </row>
    <row r="777" spans="2:33" s="44" customFormat="1" x14ac:dyDescent="0.3">
      <c r="B777" s="23"/>
      <c r="C777" s="40"/>
      <c r="D777" s="40"/>
      <c r="E777" s="41"/>
      <c r="F777" s="41"/>
      <c r="G777" s="41"/>
      <c r="H777" s="42"/>
      <c r="I777" s="42"/>
      <c r="J777" s="42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2"/>
      <c r="X777" s="42"/>
      <c r="Y777" s="42"/>
      <c r="Z777" s="42"/>
      <c r="AA777" s="42"/>
      <c r="AB777" s="42"/>
      <c r="AC777" s="36"/>
      <c r="AD777" s="36"/>
      <c r="AE777" s="36"/>
      <c r="AF777" s="42"/>
      <c r="AG777" s="36"/>
    </row>
    <row r="778" spans="2:33" s="44" customFormat="1" x14ac:dyDescent="0.3">
      <c r="B778" s="23"/>
      <c r="C778" s="40"/>
      <c r="D778" s="40"/>
      <c r="E778" s="41"/>
      <c r="F778" s="41"/>
      <c r="G778" s="41"/>
      <c r="H778" s="42"/>
      <c r="I778" s="42"/>
      <c r="J778" s="42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2"/>
      <c r="X778" s="42"/>
      <c r="Y778" s="42"/>
      <c r="Z778" s="42"/>
      <c r="AA778" s="42"/>
      <c r="AB778" s="42"/>
      <c r="AC778" s="36"/>
      <c r="AD778" s="36"/>
      <c r="AE778" s="36"/>
      <c r="AF778" s="42"/>
      <c r="AG778" s="36"/>
    </row>
    <row r="779" spans="2:33" s="44" customFormat="1" x14ac:dyDescent="0.3">
      <c r="B779" s="23"/>
      <c r="C779" s="40"/>
      <c r="D779" s="40"/>
      <c r="E779" s="41"/>
      <c r="F779" s="41"/>
      <c r="G779" s="41"/>
      <c r="H779" s="42"/>
      <c r="I779" s="42"/>
      <c r="J779" s="42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2"/>
      <c r="X779" s="42"/>
      <c r="Y779" s="42"/>
      <c r="Z779" s="42"/>
      <c r="AA779" s="42"/>
      <c r="AB779" s="42"/>
      <c r="AC779" s="36"/>
      <c r="AD779" s="36"/>
      <c r="AE779" s="36"/>
      <c r="AF779" s="42"/>
      <c r="AG779" s="36"/>
    </row>
    <row r="780" spans="2:33" s="44" customFormat="1" x14ac:dyDescent="0.3">
      <c r="B780" s="23"/>
      <c r="C780" s="40"/>
      <c r="D780" s="40"/>
      <c r="E780" s="41"/>
      <c r="F780" s="41"/>
      <c r="G780" s="41"/>
      <c r="H780" s="42"/>
      <c r="I780" s="42"/>
      <c r="J780" s="42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2"/>
      <c r="X780" s="42"/>
      <c r="Y780" s="42"/>
      <c r="Z780" s="42"/>
      <c r="AA780" s="42"/>
      <c r="AB780" s="42"/>
      <c r="AC780" s="36"/>
      <c r="AD780" s="36"/>
      <c r="AE780" s="36"/>
      <c r="AF780" s="42"/>
      <c r="AG780" s="36"/>
    </row>
    <row r="781" spans="2:33" s="44" customFormat="1" x14ac:dyDescent="0.3">
      <c r="B781" s="23"/>
      <c r="C781" s="40"/>
      <c r="D781" s="40"/>
      <c r="E781" s="41"/>
      <c r="F781" s="41"/>
      <c r="G781" s="41"/>
      <c r="H781" s="42"/>
      <c r="I781" s="42"/>
      <c r="J781" s="42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2"/>
      <c r="X781" s="42"/>
      <c r="Y781" s="42"/>
      <c r="Z781" s="42"/>
      <c r="AA781" s="42"/>
      <c r="AB781" s="42"/>
      <c r="AC781" s="36"/>
      <c r="AD781" s="36"/>
      <c r="AE781" s="36"/>
      <c r="AF781" s="42"/>
      <c r="AG781" s="36"/>
    </row>
    <row r="782" spans="2:33" s="44" customFormat="1" x14ac:dyDescent="0.3">
      <c r="B782" s="23"/>
      <c r="C782" s="40"/>
      <c r="D782" s="40"/>
      <c r="E782" s="41"/>
      <c r="F782" s="41"/>
      <c r="G782" s="41"/>
      <c r="H782" s="42"/>
      <c r="I782" s="42"/>
      <c r="J782" s="42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2"/>
      <c r="X782" s="42"/>
      <c r="Y782" s="42"/>
      <c r="Z782" s="42"/>
      <c r="AA782" s="42"/>
      <c r="AB782" s="42"/>
      <c r="AC782" s="36"/>
      <c r="AD782" s="36"/>
      <c r="AE782" s="36"/>
      <c r="AF782" s="42"/>
      <c r="AG782" s="36"/>
    </row>
    <row r="783" spans="2:33" s="44" customFormat="1" x14ac:dyDescent="0.3">
      <c r="B783" s="23"/>
      <c r="C783" s="40"/>
      <c r="D783" s="40"/>
      <c r="E783" s="41"/>
      <c r="F783" s="41"/>
      <c r="G783" s="41"/>
      <c r="H783" s="42"/>
      <c r="I783" s="42"/>
      <c r="J783" s="42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2"/>
      <c r="X783" s="42"/>
      <c r="Y783" s="42"/>
      <c r="Z783" s="42"/>
      <c r="AA783" s="42"/>
      <c r="AB783" s="42"/>
      <c r="AC783" s="36"/>
      <c r="AD783" s="36"/>
      <c r="AE783" s="36"/>
      <c r="AF783" s="42"/>
      <c r="AG783" s="36"/>
    </row>
    <row r="784" spans="2:33" s="44" customFormat="1" x14ac:dyDescent="0.3">
      <c r="B784" s="23"/>
      <c r="C784" s="40"/>
      <c r="D784" s="40"/>
      <c r="E784" s="41"/>
      <c r="F784" s="41"/>
      <c r="G784" s="41"/>
      <c r="H784" s="42"/>
      <c r="I784" s="42"/>
      <c r="J784" s="42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2"/>
      <c r="X784" s="42"/>
      <c r="Y784" s="42"/>
      <c r="Z784" s="42"/>
      <c r="AA784" s="42"/>
      <c r="AB784" s="42"/>
      <c r="AC784" s="36"/>
      <c r="AD784" s="36"/>
      <c r="AE784" s="36"/>
      <c r="AF784" s="42"/>
      <c r="AG784" s="36"/>
    </row>
    <row r="785" spans="2:33" s="44" customFormat="1" x14ac:dyDescent="0.3">
      <c r="B785" s="23"/>
      <c r="C785" s="40"/>
      <c r="D785" s="40"/>
      <c r="E785" s="41"/>
      <c r="F785" s="41"/>
      <c r="G785" s="41"/>
      <c r="H785" s="42"/>
      <c r="I785" s="42"/>
      <c r="J785" s="42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2"/>
      <c r="X785" s="42"/>
      <c r="Y785" s="42"/>
      <c r="Z785" s="42"/>
      <c r="AA785" s="42"/>
      <c r="AB785" s="42"/>
      <c r="AC785" s="36"/>
      <c r="AD785" s="36"/>
      <c r="AE785" s="36"/>
      <c r="AF785" s="42"/>
      <c r="AG785" s="36"/>
    </row>
    <row r="786" spans="2:33" s="44" customFormat="1" x14ac:dyDescent="0.3">
      <c r="B786" s="23"/>
      <c r="C786" s="40"/>
      <c r="D786" s="40"/>
      <c r="E786" s="41"/>
      <c r="F786" s="41"/>
      <c r="G786" s="41"/>
      <c r="H786" s="42"/>
      <c r="I786" s="42"/>
      <c r="J786" s="42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2"/>
      <c r="X786" s="42"/>
      <c r="Y786" s="42"/>
      <c r="Z786" s="42"/>
      <c r="AA786" s="42"/>
      <c r="AB786" s="42"/>
      <c r="AC786" s="36"/>
      <c r="AD786" s="36"/>
      <c r="AE786" s="36"/>
      <c r="AF786" s="42"/>
      <c r="AG786" s="36"/>
    </row>
    <row r="787" spans="2:33" s="44" customFormat="1" x14ac:dyDescent="0.3">
      <c r="B787" s="23"/>
      <c r="C787" s="40"/>
      <c r="D787" s="40"/>
      <c r="E787" s="41"/>
      <c r="F787" s="41"/>
      <c r="G787" s="41"/>
      <c r="H787" s="42"/>
      <c r="I787" s="42"/>
      <c r="J787" s="42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2"/>
      <c r="X787" s="42"/>
      <c r="Y787" s="42"/>
      <c r="Z787" s="42"/>
      <c r="AA787" s="42"/>
      <c r="AB787" s="42"/>
      <c r="AC787" s="36"/>
      <c r="AD787" s="36"/>
      <c r="AE787" s="36"/>
      <c r="AF787" s="42"/>
      <c r="AG787" s="36"/>
    </row>
    <row r="788" spans="2:33" s="44" customFormat="1" x14ac:dyDescent="0.3">
      <c r="B788" s="23"/>
      <c r="C788" s="40"/>
      <c r="D788" s="40"/>
      <c r="E788" s="41"/>
      <c r="F788" s="41"/>
      <c r="G788" s="41"/>
      <c r="H788" s="42"/>
      <c r="I788" s="42"/>
      <c r="J788" s="42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2"/>
      <c r="X788" s="42"/>
      <c r="Y788" s="42"/>
      <c r="Z788" s="42"/>
      <c r="AA788" s="42"/>
      <c r="AB788" s="42"/>
      <c r="AC788" s="36"/>
      <c r="AD788" s="36"/>
      <c r="AE788" s="36"/>
      <c r="AF788" s="42"/>
      <c r="AG788" s="36"/>
    </row>
    <row r="789" spans="2:33" s="44" customFormat="1" x14ac:dyDescent="0.3">
      <c r="B789" s="23"/>
      <c r="C789" s="40"/>
      <c r="D789" s="40"/>
      <c r="E789" s="41"/>
      <c r="F789" s="41"/>
      <c r="G789" s="41"/>
      <c r="H789" s="42"/>
      <c r="I789" s="42"/>
      <c r="J789" s="42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2"/>
      <c r="X789" s="42"/>
      <c r="Y789" s="42"/>
      <c r="Z789" s="42"/>
      <c r="AA789" s="42"/>
      <c r="AB789" s="42"/>
      <c r="AC789" s="36"/>
      <c r="AD789" s="36"/>
      <c r="AE789" s="36"/>
      <c r="AF789" s="42"/>
      <c r="AG789" s="36"/>
    </row>
    <row r="790" spans="2:33" s="44" customFormat="1" x14ac:dyDescent="0.3">
      <c r="B790" s="23"/>
      <c r="C790" s="40"/>
      <c r="D790" s="40"/>
      <c r="E790" s="41"/>
      <c r="F790" s="41"/>
      <c r="G790" s="41"/>
      <c r="H790" s="42"/>
      <c r="I790" s="42"/>
      <c r="J790" s="42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2"/>
      <c r="X790" s="42"/>
      <c r="Y790" s="42"/>
      <c r="Z790" s="42"/>
      <c r="AA790" s="42"/>
      <c r="AB790" s="42"/>
      <c r="AC790" s="36"/>
      <c r="AD790" s="36"/>
      <c r="AE790" s="36"/>
      <c r="AF790" s="42"/>
      <c r="AG790" s="36"/>
    </row>
    <row r="791" spans="2:33" s="44" customFormat="1" x14ac:dyDescent="0.3">
      <c r="B791" s="23"/>
      <c r="C791" s="40"/>
      <c r="D791" s="40"/>
      <c r="E791" s="41"/>
      <c r="F791" s="41"/>
      <c r="G791" s="41"/>
      <c r="H791" s="42"/>
      <c r="I791" s="42"/>
      <c r="J791" s="42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2"/>
      <c r="X791" s="42"/>
      <c r="Y791" s="42"/>
      <c r="Z791" s="42"/>
      <c r="AA791" s="42"/>
      <c r="AB791" s="42"/>
      <c r="AC791" s="36"/>
      <c r="AD791" s="36"/>
      <c r="AE791" s="36"/>
      <c r="AF791" s="42"/>
      <c r="AG791" s="36"/>
    </row>
    <row r="792" spans="2:33" s="44" customFormat="1" x14ac:dyDescent="0.3">
      <c r="B792" s="23"/>
      <c r="C792" s="40"/>
      <c r="D792" s="40"/>
      <c r="E792" s="41"/>
      <c r="F792" s="41"/>
      <c r="G792" s="41"/>
      <c r="H792" s="42"/>
      <c r="I792" s="42"/>
      <c r="J792" s="42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2"/>
      <c r="X792" s="42"/>
      <c r="Y792" s="42"/>
      <c r="Z792" s="42"/>
      <c r="AA792" s="42"/>
      <c r="AB792" s="42"/>
      <c r="AC792" s="36"/>
      <c r="AD792" s="36"/>
      <c r="AE792" s="36"/>
      <c r="AF792" s="42"/>
      <c r="AG792" s="36"/>
    </row>
    <row r="793" spans="2:33" s="44" customFormat="1" x14ac:dyDescent="0.3">
      <c r="B793" s="23"/>
      <c r="C793" s="40"/>
      <c r="D793" s="40"/>
      <c r="E793" s="41"/>
      <c r="F793" s="41"/>
      <c r="G793" s="41"/>
      <c r="H793" s="42"/>
      <c r="I793" s="42"/>
      <c r="J793" s="42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2"/>
      <c r="X793" s="42"/>
      <c r="Y793" s="42"/>
      <c r="Z793" s="42"/>
      <c r="AA793" s="42"/>
      <c r="AB793" s="42"/>
      <c r="AC793" s="36"/>
      <c r="AD793" s="36"/>
      <c r="AE793" s="36"/>
      <c r="AF793" s="42"/>
      <c r="AG793" s="36"/>
    </row>
    <row r="794" spans="2:33" s="44" customFormat="1" x14ac:dyDescent="0.3">
      <c r="B794" s="23"/>
      <c r="C794" s="40"/>
      <c r="D794" s="40"/>
      <c r="E794" s="41"/>
      <c r="F794" s="41"/>
      <c r="G794" s="41"/>
      <c r="H794" s="42"/>
      <c r="I794" s="42"/>
      <c r="J794" s="42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2"/>
      <c r="X794" s="42"/>
      <c r="Y794" s="42"/>
      <c r="Z794" s="42"/>
      <c r="AA794" s="42"/>
      <c r="AB794" s="42"/>
      <c r="AC794" s="36"/>
      <c r="AD794" s="36"/>
      <c r="AE794" s="36"/>
      <c r="AF794" s="42"/>
      <c r="AG794" s="36"/>
    </row>
    <row r="795" spans="2:33" s="44" customFormat="1" x14ac:dyDescent="0.3">
      <c r="B795" s="23"/>
      <c r="C795" s="40"/>
      <c r="D795" s="40"/>
      <c r="E795" s="41"/>
      <c r="F795" s="41"/>
      <c r="G795" s="41"/>
      <c r="H795" s="42"/>
      <c r="I795" s="42"/>
      <c r="J795" s="42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2"/>
      <c r="X795" s="42"/>
      <c r="Y795" s="42"/>
      <c r="Z795" s="42"/>
      <c r="AA795" s="42"/>
      <c r="AB795" s="42"/>
      <c r="AC795" s="36"/>
      <c r="AD795" s="36"/>
      <c r="AE795" s="36"/>
      <c r="AF795" s="42"/>
      <c r="AG795" s="36"/>
    </row>
    <row r="796" spans="2:33" s="44" customFormat="1" x14ac:dyDescent="0.3">
      <c r="B796" s="23"/>
      <c r="C796" s="40"/>
      <c r="D796" s="40"/>
      <c r="E796" s="41"/>
      <c r="F796" s="41"/>
      <c r="G796" s="41"/>
      <c r="H796" s="42"/>
      <c r="I796" s="42"/>
      <c r="J796" s="42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2"/>
      <c r="X796" s="42"/>
      <c r="Y796" s="42"/>
      <c r="Z796" s="42"/>
      <c r="AA796" s="42"/>
      <c r="AB796" s="42"/>
      <c r="AC796" s="36"/>
      <c r="AD796" s="36"/>
      <c r="AE796" s="36"/>
      <c r="AF796" s="42"/>
      <c r="AG796" s="36"/>
    </row>
    <row r="797" spans="2:33" s="44" customFormat="1" x14ac:dyDescent="0.3">
      <c r="B797" s="23"/>
      <c r="C797" s="40"/>
      <c r="D797" s="40"/>
      <c r="E797" s="41"/>
      <c r="F797" s="41"/>
      <c r="G797" s="41"/>
      <c r="H797" s="42"/>
      <c r="I797" s="42"/>
      <c r="J797" s="42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2"/>
      <c r="X797" s="42"/>
      <c r="Y797" s="42"/>
      <c r="Z797" s="42"/>
      <c r="AA797" s="42"/>
      <c r="AB797" s="42"/>
      <c r="AC797" s="36"/>
      <c r="AD797" s="36"/>
      <c r="AE797" s="36"/>
      <c r="AF797" s="42"/>
      <c r="AG797" s="36"/>
    </row>
    <row r="798" spans="2:33" s="44" customFormat="1" x14ac:dyDescent="0.3">
      <c r="B798" s="23"/>
      <c r="C798" s="40"/>
      <c r="D798" s="40"/>
      <c r="E798" s="41"/>
      <c r="F798" s="41"/>
      <c r="G798" s="41"/>
      <c r="H798" s="42"/>
      <c r="I798" s="42"/>
      <c r="J798" s="42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2"/>
      <c r="X798" s="42"/>
      <c r="Y798" s="42"/>
      <c r="Z798" s="42"/>
      <c r="AA798" s="42"/>
      <c r="AB798" s="42"/>
      <c r="AC798" s="36"/>
      <c r="AD798" s="36"/>
      <c r="AE798" s="36"/>
      <c r="AF798" s="42"/>
      <c r="AG798" s="36"/>
    </row>
    <row r="799" spans="2:33" s="44" customFormat="1" x14ac:dyDescent="0.3">
      <c r="B799" s="23"/>
      <c r="C799" s="40"/>
      <c r="D799" s="40"/>
      <c r="E799" s="41"/>
      <c r="F799" s="41"/>
      <c r="G799" s="41"/>
      <c r="H799" s="42"/>
      <c r="I799" s="42"/>
      <c r="J799" s="42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2"/>
      <c r="X799" s="42"/>
      <c r="Y799" s="42"/>
      <c r="Z799" s="42"/>
      <c r="AA799" s="42"/>
      <c r="AB799" s="42"/>
      <c r="AC799" s="36"/>
      <c r="AD799" s="36"/>
      <c r="AE799" s="36"/>
      <c r="AF799" s="42"/>
      <c r="AG799" s="36"/>
    </row>
    <row r="800" spans="2:33" s="44" customFormat="1" x14ac:dyDescent="0.3">
      <c r="B800" s="23"/>
      <c r="C800" s="40"/>
      <c r="D800" s="40"/>
      <c r="E800" s="41"/>
      <c r="F800" s="41"/>
      <c r="G800" s="41"/>
      <c r="H800" s="42"/>
      <c r="I800" s="42"/>
      <c r="J800" s="42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2"/>
      <c r="X800" s="42"/>
      <c r="Y800" s="42"/>
      <c r="Z800" s="42"/>
      <c r="AA800" s="42"/>
      <c r="AB800" s="42"/>
      <c r="AC800" s="36"/>
      <c r="AD800" s="36"/>
      <c r="AE800" s="36"/>
      <c r="AF800" s="42"/>
      <c r="AG800" s="36"/>
    </row>
    <row r="801" spans="2:33" s="44" customFormat="1" x14ac:dyDescent="0.3">
      <c r="B801" s="23"/>
      <c r="C801" s="40"/>
      <c r="D801" s="40"/>
      <c r="E801" s="41"/>
      <c r="F801" s="41"/>
      <c r="G801" s="41"/>
      <c r="H801" s="42"/>
      <c r="I801" s="42"/>
      <c r="J801" s="42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2"/>
      <c r="X801" s="42"/>
      <c r="Y801" s="42"/>
      <c r="Z801" s="42"/>
      <c r="AA801" s="42"/>
      <c r="AB801" s="42"/>
      <c r="AC801" s="36"/>
      <c r="AD801" s="36"/>
      <c r="AE801" s="36"/>
      <c r="AF801" s="42"/>
      <c r="AG801" s="36"/>
    </row>
    <row r="802" spans="2:33" s="44" customFormat="1" x14ac:dyDescent="0.3">
      <c r="B802" s="23"/>
      <c r="C802" s="40"/>
      <c r="D802" s="40"/>
      <c r="E802" s="41"/>
      <c r="F802" s="41"/>
      <c r="G802" s="41"/>
      <c r="H802" s="42"/>
      <c r="I802" s="42"/>
      <c r="J802" s="42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2"/>
      <c r="X802" s="42"/>
      <c r="Y802" s="42"/>
      <c r="Z802" s="42"/>
      <c r="AA802" s="42"/>
      <c r="AB802" s="42"/>
      <c r="AC802" s="36"/>
      <c r="AD802" s="36"/>
      <c r="AE802" s="36"/>
      <c r="AF802" s="42"/>
      <c r="AG802" s="36"/>
    </row>
    <row r="803" spans="2:33" s="44" customFormat="1" x14ac:dyDescent="0.3">
      <c r="B803" s="23"/>
      <c r="C803" s="40"/>
      <c r="D803" s="40"/>
      <c r="E803" s="41"/>
      <c r="F803" s="41"/>
      <c r="G803" s="41"/>
      <c r="H803" s="42"/>
      <c r="I803" s="42"/>
      <c r="J803" s="42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2"/>
      <c r="X803" s="42"/>
      <c r="Y803" s="42"/>
      <c r="Z803" s="42"/>
      <c r="AA803" s="42"/>
      <c r="AB803" s="42"/>
      <c r="AC803" s="36"/>
      <c r="AD803" s="36"/>
      <c r="AE803" s="36"/>
      <c r="AF803" s="42"/>
      <c r="AG803" s="36"/>
    </row>
    <row r="804" spans="2:33" s="44" customFormat="1" x14ac:dyDescent="0.3">
      <c r="B804" s="23"/>
      <c r="C804" s="40"/>
      <c r="D804" s="40"/>
      <c r="E804" s="41"/>
      <c r="F804" s="41"/>
      <c r="G804" s="41"/>
      <c r="H804" s="42"/>
      <c r="I804" s="42"/>
      <c r="J804" s="42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2"/>
      <c r="X804" s="42"/>
      <c r="Y804" s="42"/>
      <c r="Z804" s="42"/>
      <c r="AA804" s="42"/>
      <c r="AB804" s="42"/>
      <c r="AC804" s="36"/>
      <c r="AD804" s="36"/>
      <c r="AE804" s="36"/>
      <c r="AF804" s="42"/>
      <c r="AG804" s="36"/>
    </row>
    <row r="805" spans="2:33" s="44" customFormat="1" x14ac:dyDescent="0.3">
      <c r="B805" s="23"/>
      <c r="C805" s="40"/>
      <c r="D805" s="40"/>
      <c r="E805" s="41"/>
      <c r="F805" s="41"/>
      <c r="G805" s="41"/>
      <c r="H805" s="42"/>
      <c r="I805" s="42"/>
      <c r="J805" s="42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2"/>
      <c r="X805" s="42"/>
      <c r="Y805" s="42"/>
      <c r="Z805" s="42"/>
      <c r="AA805" s="42"/>
      <c r="AB805" s="42"/>
      <c r="AC805" s="36"/>
      <c r="AD805" s="36"/>
      <c r="AE805" s="36"/>
      <c r="AF805" s="42"/>
      <c r="AG805" s="36"/>
    </row>
    <row r="806" spans="2:33" s="44" customFormat="1" x14ac:dyDescent="0.3">
      <c r="B806" s="23"/>
      <c r="C806" s="40"/>
      <c r="D806" s="40"/>
      <c r="E806" s="41"/>
      <c r="F806" s="41"/>
      <c r="G806" s="41"/>
      <c r="H806" s="42"/>
      <c r="I806" s="42"/>
      <c r="J806" s="42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2"/>
      <c r="X806" s="42"/>
      <c r="Y806" s="42"/>
      <c r="Z806" s="42"/>
      <c r="AA806" s="42"/>
      <c r="AB806" s="42"/>
      <c r="AC806" s="36"/>
      <c r="AD806" s="36"/>
      <c r="AE806" s="36"/>
      <c r="AF806" s="42"/>
      <c r="AG806" s="36"/>
    </row>
    <row r="807" spans="2:33" s="44" customFormat="1" x14ac:dyDescent="0.3">
      <c r="B807" s="23"/>
      <c r="C807" s="40"/>
      <c r="D807" s="40"/>
      <c r="E807" s="41"/>
      <c r="F807" s="41"/>
      <c r="G807" s="41"/>
      <c r="H807" s="42"/>
      <c r="I807" s="42"/>
      <c r="J807" s="42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2"/>
      <c r="X807" s="42"/>
      <c r="Y807" s="42"/>
      <c r="Z807" s="42"/>
      <c r="AA807" s="42"/>
      <c r="AB807" s="42"/>
      <c r="AC807" s="36"/>
      <c r="AD807" s="36"/>
      <c r="AE807" s="36"/>
      <c r="AF807" s="42"/>
      <c r="AG807" s="36"/>
    </row>
    <row r="808" spans="2:33" s="44" customFormat="1" x14ac:dyDescent="0.3">
      <c r="B808" s="23"/>
      <c r="C808" s="40"/>
      <c r="D808" s="40"/>
      <c r="E808" s="41"/>
      <c r="F808" s="41"/>
      <c r="G808" s="41"/>
      <c r="H808" s="42"/>
      <c r="I808" s="42"/>
      <c r="J808" s="42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2"/>
      <c r="X808" s="42"/>
      <c r="Y808" s="42"/>
      <c r="Z808" s="42"/>
      <c r="AA808" s="42"/>
      <c r="AB808" s="42"/>
      <c r="AC808" s="36"/>
      <c r="AD808" s="36"/>
      <c r="AE808" s="36"/>
      <c r="AF808" s="42"/>
      <c r="AG808" s="36"/>
    </row>
    <row r="809" spans="2:33" s="44" customFormat="1" x14ac:dyDescent="0.3">
      <c r="B809" s="23"/>
      <c r="C809" s="40"/>
      <c r="D809" s="40"/>
      <c r="E809" s="41"/>
      <c r="F809" s="41"/>
      <c r="G809" s="41"/>
      <c r="H809" s="42"/>
      <c r="I809" s="42"/>
      <c r="J809" s="42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2"/>
      <c r="X809" s="42"/>
      <c r="Y809" s="42"/>
      <c r="Z809" s="42"/>
      <c r="AA809" s="42"/>
      <c r="AB809" s="42"/>
      <c r="AC809" s="36"/>
      <c r="AD809" s="36"/>
      <c r="AE809" s="36"/>
      <c r="AF809" s="42"/>
      <c r="AG809" s="36"/>
    </row>
    <row r="810" spans="2:33" s="44" customFormat="1" x14ac:dyDescent="0.3">
      <c r="B810" s="23"/>
      <c r="C810" s="40"/>
      <c r="D810" s="40"/>
      <c r="E810" s="41"/>
      <c r="F810" s="41"/>
      <c r="G810" s="41"/>
      <c r="H810" s="42"/>
      <c r="I810" s="42"/>
      <c r="J810" s="42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2"/>
      <c r="X810" s="42"/>
      <c r="Y810" s="42"/>
      <c r="Z810" s="42"/>
      <c r="AA810" s="42"/>
      <c r="AB810" s="42"/>
      <c r="AC810" s="36"/>
      <c r="AD810" s="36"/>
      <c r="AE810" s="36"/>
      <c r="AF810" s="42"/>
      <c r="AG810" s="36"/>
    </row>
    <row r="811" spans="2:33" s="44" customFormat="1" x14ac:dyDescent="0.3">
      <c r="B811" s="23"/>
      <c r="C811" s="40"/>
      <c r="D811" s="40"/>
      <c r="E811" s="41"/>
      <c r="F811" s="41"/>
      <c r="G811" s="41"/>
      <c r="H811" s="42"/>
      <c r="I811" s="42"/>
      <c r="J811" s="42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2"/>
      <c r="X811" s="42"/>
      <c r="Y811" s="42"/>
      <c r="Z811" s="42"/>
      <c r="AA811" s="42"/>
      <c r="AB811" s="42"/>
      <c r="AC811" s="36"/>
      <c r="AD811" s="36"/>
      <c r="AE811" s="36"/>
      <c r="AF811" s="42"/>
      <c r="AG811" s="36"/>
    </row>
    <row r="812" spans="2:33" s="44" customFormat="1" x14ac:dyDescent="0.3">
      <c r="B812" s="23"/>
      <c r="C812" s="40"/>
      <c r="D812" s="40"/>
      <c r="E812" s="41"/>
      <c r="F812" s="41"/>
      <c r="G812" s="41"/>
      <c r="H812" s="42"/>
      <c r="I812" s="42"/>
      <c r="J812" s="42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2"/>
      <c r="X812" s="42"/>
      <c r="Y812" s="42"/>
      <c r="Z812" s="42"/>
      <c r="AA812" s="42"/>
      <c r="AB812" s="42"/>
      <c r="AC812" s="36"/>
      <c r="AD812" s="36"/>
      <c r="AE812" s="36"/>
      <c r="AF812" s="42"/>
      <c r="AG812" s="36"/>
    </row>
    <row r="813" spans="2:33" s="44" customFormat="1" x14ac:dyDescent="0.3">
      <c r="B813" s="23"/>
      <c r="C813" s="40"/>
      <c r="D813" s="40"/>
      <c r="E813" s="41"/>
      <c r="F813" s="41"/>
      <c r="G813" s="41"/>
      <c r="H813" s="42"/>
      <c r="I813" s="42"/>
      <c r="J813" s="42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2"/>
      <c r="X813" s="42"/>
      <c r="Y813" s="42"/>
      <c r="Z813" s="42"/>
      <c r="AA813" s="42"/>
      <c r="AB813" s="42"/>
      <c r="AC813" s="36"/>
      <c r="AD813" s="36"/>
      <c r="AE813" s="36"/>
      <c r="AF813" s="42"/>
      <c r="AG813" s="36"/>
    </row>
    <row r="814" spans="2:33" s="44" customFormat="1" x14ac:dyDescent="0.3">
      <c r="B814" s="23"/>
      <c r="C814" s="40"/>
      <c r="D814" s="40"/>
      <c r="E814" s="41"/>
      <c r="F814" s="41"/>
      <c r="G814" s="41"/>
      <c r="H814" s="42"/>
      <c r="I814" s="42"/>
      <c r="J814" s="42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2"/>
      <c r="X814" s="42"/>
      <c r="Y814" s="42"/>
      <c r="Z814" s="42"/>
      <c r="AA814" s="42"/>
      <c r="AB814" s="42"/>
      <c r="AC814" s="36"/>
      <c r="AD814" s="36"/>
      <c r="AE814" s="36"/>
      <c r="AF814" s="42"/>
      <c r="AG814" s="36"/>
    </row>
    <row r="815" spans="2:33" s="44" customFormat="1" x14ac:dyDescent="0.3">
      <c r="B815" s="23"/>
      <c r="C815" s="40"/>
      <c r="D815" s="40"/>
      <c r="E815" s="41"/>
      <c r="F815" s="41"/>
      <c r="G815" s="41"/>
      <c r="H815" s="42"/>
      <c r="I815" s="42"/>
      <c r="J815" s="42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2"/>
      <c r="X815" s="42"/>
      <c r="Y815" s="42"/>
      <c r="Z815" s="42"/>
      <c r="AA815" s="42"/>
      <c r="AB815" s="42"/>
      <c r="AC815" s="36"/>
      <c r="AD815" s="36"/>
      <c r="AE815" s="36"/>
      <c r="AF815" s="42"/>
      <c r="AG815" s="36"/>
    </row>
    <row r="816" spans="2:33" s="44" customFormat="1" x14ac:dyDescent="0.3">
      <c r="B816" s="23"/>
      <c r="C816" s="40"/>
      <c r="D816" s="40"/>
      <c r="E816" s="41"/>
      <c r="F816" s="41"/>
      <c r="G816" s="41"/>
      <c r="H816" s="42"/>
      <c r="I816" s="42"/>
      <c r="J816" s="42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2"/>
      <c r="X816" s="42"/>
      <c r="Y816" s="42"/>
      <c r="Z816" s="42"/>
      <c r="AA816" s="42"/>
      <c r="AB816" s="42"/>
      <c r="AC816" s="36"/>
      <c r="AD816" s="36"/>
      <c r="AE816" s="36"/>
      <c r="AF816" s="42"/>
      <c r="AG816" s="36"/>
    </row>
    <row r="817" spans="2:33" s="44" customFormat="1" x14ac:dyDescent="0.3">
      <c r="B817" s="23"/>
      <c r="C817" s="40"/>
      <c r="D817" s="40"/>
      <c r="E817" s="41"/>
      <c r="F817" s="41"/>
      <c r="G817" s="41"/>
      <c r="H817" s="42"/>
      <c r="I817" s="42"/>
      <c r="J817" s="42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2"/>
      <c r="X817" s="42"/>
      <c r="Y817" s="42"/>
      <c r="Z817" s="42"/>
      <c r="AA817" s="42"/>
      <c r="AB817" s="42"/>
      <c r="AC817" s="36"/>
      <c r="AD817" s="36"/>
      <c r="AE817" s="36"/>
      <c r="AF817" s="42"/>
      <c r="AG817" s="36"/>
    </row>
    <row r="818" spans="2:33" s="44" customFormat="1" x14ac:dyDescent="0.3">
      <c r="B818" s="23"/>
      <c r="C818" s="40"/>
      <c r="D818" s="40"/>
      <c r="E818" s="41"/>
      <c r="F818" s="41"/>
      <c r="G818" s="41"/>
      <c r="H818" s="42"/>
      <c r="I818" s="42"/>
      <c r="J818" s="42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2"/>
      <c r="X818" s="42"/>
      <c r="Y818" s="42"/>
      <c r="Z818" s="42"/>
      <c r="AA818" s="42"/>
      <c r="AB818" s="42"/>
      <c r="AC818" s="36"/>
      <c r="AD818" s="36"/>
      <c r="AE818" s="36"/>
      <c r="AF818" s="42"/>
      <c r="AG818" s="36"/>
    </row>
    <row r="819" spans="2:33" s="44" customFormat="1" x14ac:dyDescent="0.3">
      <c r="B819" s="23"/>
      <c r="C819" s="40"/>
      <c r="D819" s="40"/>
      <c r="E819" s="41"/>
      <c r="F819" s="41"/>
      <c r="G819" s="41"/>
      <c r="H819" s="42"/>
      <c r="I819" s="42"/>
      <c r="J819" s="42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2"/>
      <c r="X819" s="42"/>
      <c r="Y819" s="42"/>
      <c r="Z819" s="42"/>
      <c r="AA819" s="42"/>
      <c r="AB819" s="42"/>
      <c r="AC819" s="36"/>
      <c r="AD819" s="36"/>
      <c r="AE819" s="36"/>
      <c r="AF819" s="42"/>
      <c r="AG819" s="36"/>
    </row>
    <row r="820" spans="2:33" s="44" customFormat="1" x14ac:dyDescent="0.3">
      <c r="B820" s="23"/>
      <c r="C820" s="40"/>
      <c r="D820" s="40"/>
      <c r="E820" s="41"/>
      <c r="F820" s="41"/>
      <c r="G820" s="41"/>
      <c r="H820" s="42"/>
      <c r="I820" s="42"/>
      <c r="J820" s="42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2"/>
      <c r="X820" s="42"/>
      <c r="Y820" s="42"/>
      <c r="Z820" s="42"/>
      <c r="AA820" s="42"/>
      <c r="AB820" s="42"/>
      <c r="AC820" s="36"/>
      <c r="AD820" s="36"/>
      <c r="AE820" s="36"/>
      <c r="AF820" s="42"/>
      <c r="AG820" s="36"/>
    </row>
    <row r="821" spans="2:33" s="44" customFormat="1" x14ac:dyDescent="0.3">
      <c r="B821" s="23"/>
      <c r="C821" s="40"/>
      <c r="D821" s="40"/>
      <c r="E821" s="41"/>
      <c r="F821" s="41"/>
      <c r="G821" s="41"/>
      <c r="H821" s="42"/>
      <c r="I821" s="42"/>
      <c r="J821" s="42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2"/>
      <c r="X821" s="42"/>
      <c r="Y821" s="42"/>
      <c r="Z821" s="42"/>
      <c r="AA821" s="42"/>
      <c r="AB821" s="42"/>
      <c r="AC821" s="36"/>
      <c r="AD821" s="36"/>
      <c r="AE821" s="36"/>
      <c r="AF821" s="42"/>
      <c r="AG821" s="36"/>
    </row>
    <row r="822" spans="2:33" s="44" customFormat="1" x14ac:dyDescent="0.3">
      <c r="B822" s="23"/>
      <c r="C822" s="40"/>
      <c r="D822" s="40"/>
      <c r="E822" s="41"/>
      <c r="F822" s="41"/>
      <c r="G822" s="41"/>
      <c r="H822" s="42"/>
      <c r="I822" s="42"/>
      <c r="J822" s="42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2"/>
      <c r="X822" s="42"/>
      <c r="Y822" s="42"/>
      <c r="Z822" s="42"/>
      <c r="AA822" s="42"/>
      <c r="AB822" s="42"/>
      <c r="AC822" s="36"/>
      <c r="AD822" s="36"/>
      <c r="AE822" s="36"/>
      <c r="AF822" s="42"/>
      <c r="AG822" s="36"/>
    </row>
    <row r="823" spans="2:33" s="44" customFormat="1" x14ac:dyDescent="0.3">
      <c r="B823" s="23"/>
      <c r="C823" s="40"/>
      <c r="D823" s="40"/>
      <c r="E823" s="41"/>
      <c r="F823" s="41"/>
      <c r="G823" s="41"/>
      <c r="H823" s="42"/>
      <c r="I823" s="42"/>
      <c r="J823" s="42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2"/>
      <c r="X823" s="42"/>
      <c r="Y823" s="42"/>
      <c r="Z823" s="42"/>
      <c r="AA823" s="42"/>
      <c r="AB823" s="42"/>
      <c r="AC823" s="36"/>
      <c r="AD823" s="36"/>
      <c r="AE823" s="36"/>
      <c r="AF823" s="42"/>
      <c r="AG823" s="36"/>
    </row>
    <row r="824" spans="2:33" s="44" customFormat="1" x14ac:dyDescent="0.3">
      <c r="B824" s="23"/>
      <c r="C824" s="40"/>
      <c r="D824" s="40"/>
      <c r="E824" s="41"/>
      <c r="F824" s="41"/>
      <c r="G824" s="41"/>
      <c r="H824" s="42"/>
      <c r="I824" s="42"/>
      <c r="J824" s="42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2"/>
      <c r="X824" s="42"/>
      <c r="Y824" s="42"/>
      <c r="Z824" s="42"/>
      <c r="AA824" s="42"/>
      <c r="AB824" s="42"/>
      <c r="AC824" s="36"/>
      <c r="AD824" s="36"/>
      <c r="AE824" s="36"/>
      <c r="AF824" s="42"/>
      <c r="AG824" s="36"/>
    </row>
    <row r="825" spans="2:33" s="44" customFormat="1" x14ac:dyDescent="0.3">
      <c r="B825" s="23"/>
      <c r="C825" s="40"/>
      <c r="D825" s="40"/>
      <c r="E825" s="41"/>
      <c r="F825" s="41"/>
      <c r="G825" s="41"/>
      <c r="H825" s="42"/>
      <c r="I825" s="42"/>
      <c r="J825" s="42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2"/>
      <c r="X825" s="42"/>
      <c r="Y825" s="42"/>
      <c r="Z825" s="42"/>
      <c r="AA825" s="42"/>
      <c r="AB825" s="42"/>
      <c r="AC825" s="36"/>
      <c r="AD825" s="36"/>
      <c r="AE825" s="36"/>
      <c r="AF825" s="42"/>
      <c r="AG825" s="36"/>
    </row>
    <row r="826" spans="2:33" s="44" customFormat="1" x14ac:dyDescent="0.3">
      <c r="B826" s="23"/>
      <c r="C826" s="40"/>
      <c r="D826" s="40"/>
      <c r="E826" s="41"/>
      <c r="F826" s="41"/>
      <c r="G826" s="41"/>
      <c r="H826" s="42"/>
      <c r="I826" s="42"/>
      <c r="J826" s="42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2"/>
      <c r="X826" s="42"/>
      <c r="Y826" s="42"/>
      <c r="Z826" s="42"/>
      <c r="AA826" s="42"/>
      <c r="AB826" s="42"/>
      <c r="AC826" s="36"/>
      <c r="AD826" s="36"/>
      <c r="AE826" s="36"/>
      <c r="AF826" s="42"/>
      <c r="AG826" s="36"/>
    </row>
    <row r="827" spans="2:33" s="44" customFormat="1" x14ac:dyDescent="0.3">
      <c r="B827" s="23"/>
      <c r="C827" s="40"/>
      <c r="D827" s="40"/>
      <c r="E827" s="41"/>
      <c r="F827" s="41"/>
      <c r="G827" s="41"/>
      <c r="H827" s="42"/>
      <c r="I827" s="42"/>
      <c r="J827" s="42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2"/>
      <c r="X827" s="42"/>
      <c r="Y827" s="42"/>
      <c r="Z827" s="42"/>
      <c r="AA827" s="42"/>
      <c r="AB827" s="42"/>
      <c r="AC827" s="36"/>
      <c r="AD827" s="36"/>
      <c r="AE827" s="36"/>
      <c r="AF827" s="42"/>
      <c r="AG827" s="36"/>
    </row>
    <row r="828" spans="2:33" s="44" customFormat="1" x14ac:dyDescent="0.3">
      <c r="B828" s="23"/>
      <c r="C828" s="40"/>
      <c r="D828" s="40"/>
      <c r="E828" s="41"/>
      <c r="F828" s="41"/>
      <c r="G828" s="41"/>
      <c r="H828" s="42"/>
      <c r="I828" s="42"/>
      <c r="J828" s="42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2"/>
      <c r="X828" s="42"/>
      <c r="Y828" s="42"/>
      <c r="Z828" s="42"/>
      <c r="AA828" s="42"/>
      <c r="AB828" s="42"/>
      <c r="AC828" s="36"/>
      <c r="AD828" s="36"/>
      <c r="AE828" s="36"/>
      <c r="AF828" s="42"/>
      <c r="AG828" s="36"/>
    </row>
    <row r="829" spans="2:33" s="44" customFormat="1" x14ac:dyDescent="0.3">
      <c r="B829" s="23"/>
      <c r="C829" s="40"/>
      <c r="D829" s="40"/>
      <c r="E829" s="41"/>
      <c r="F829" s="41"/>
      <c r="G829" s="41"/>
      <c r="H829" s="42"/>
      <c r="I829" s="42"/>
      <c r="J829" s="42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2"/>
      <c r="X829" s="42"/>
      <c r="Y829" s="42"/>
      <c r="Z829" s="42"/>
      <c r="AA829" s="42"/>
      <c r="AB829" s="42"/>
      <c r="AC829" s="36"/>
      <c r="AD829" s="36"/>
      <c r="AE829" s="36"/>
      <c r="AF829" s="42"/>
      <c r="AG829" s="36"/>
    </row>
    <row r="830" spans="2:33" s="44" customFormat="1" x14ac:dyDescent="0.3">
      <c r="B830" s="23"/>
      <c r="C830" s="40"/>
      <c r="D830" s="40"/>
      <c r="E830" s="41"/>
      <c r="F830" s="41"/>
      <c r="G830" s="41"/>
      <c r="H830" s="42"/>
      <c r="I830" s="42"/>
      <c r="J830" s="42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2"/>
      <c r="X830" s="42"/>
      <c r="Y830" s="42"/>
      <c r="Z830" s="42"/>
      <c r="AA830" s="42"/>
      <c r="AB830" s="42"/>
      <c r="AC830" s="36"/>
      <c r="AD830" s="36"/>
      <c r="AE830" s="36"/>
      <c r="AF830" s="42"/>
      <c r="AG830" s="36"/>
    </row>
    <row r="831" spans="2:33" s="44" customFormat="1" x14ac:dyDescent="0.3">
      <c r="B831" s="23"/>
      <c r="C831" s="40"/>
      <c r="D831" s="40"/>
      <c r="E831" s="41"/>
      <c r="F831" s="41"/>
      <c r="G831" s="41"/>
      <c r="H831" s="42"/>
      <c r="I831" s="42"/>
      <c r="J831" s="42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2"/>
      <c r="X831" s="42"/>
      <c r="Y831" s="42"/>
      <c r="Z831" s="42"/>
      <c r="AA831" s="42"/>
      <c r="AB831" s="42"/>
      <c r="AC831" s="36"/>
      <c r="AD831" s="36"/>
      <c r="AE831" s="36"/>
      <c r="AF831" s="42"/>
      <c r="AG831" s="36"/>
    </row>
    <row r="832" spans="2:33" s="44" customFormat="1" x14ac:dyDescent="0.3">
      <c r="B832" s="23"/>
      <c r="C832" s="40"/>
      <c r="D832" s="40"/>
      <c r="E832" s="41"/>
      <c r="F832" s="41"/>
      <c r="G832" s="41"/>
      <c r="H832" s="42"/>
      <c r="I832" s="42"/>
      <c r="J832" s="42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2"/>
      <c r="X832" s="42"/>
      <c r="Y832" s="42"/>
      <c r="Z832" s="42"/>
      <c r="AA832" s="42"/>
      <c r="AB832" s="42"/>
      <c r="AC832" s="36"/>
      <c r="AD832" s="36"/>
      <c r="AE832" s="36"/>
      <c r="AF832" s="42"/>
      <c r="AG832" s="36"/>
    </row>
    <row r="833" spans="2:33" s="44" customFormat="1" x14ac:dyDescent="0.3">
      <c r="B833" s="23"/>
      <c r="C833" s="40"/>
      <c r="D833" s="40"/>
      <c r="E833" s="41"/>
      <c r="F833" s="41"/>
      <c r="G833" s="41"/>
      <c r="H833" s="42"/>
      <c r="I833" s="42"/>
      <c r="J833" s="42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2"/>
      <c r="X833" s="42"/>
      <c r="Y833" s="42"/>
      <c r="Z833" s="42"/>
      <c r="AA833" s="42"/>
      <c r="AB833" s="42"/>
      <c r="AC833" s="36"/>
      <c r="AD833" s="36"/>
      <c r="AE833" s="36"/>
      <c r="AF833" s="42"/>
      <c r="AG833" s="36"/>
    </row>
    <row r="834" spans="2:33" s="44" customFormat="1" x14ac:dyDescent="0.3">
      <c r="B834" s="23"/>
      <c r="C834" s="40"/>
      <c r="D834" s="40"/>
      <c r="E834" s="41"/>
      <c r="F834" s="41"/>
      <c r="G834" s="41"/>
      <c r="H834" s="42"/>
      <c r="I834" s="42"/>
      <c r="J834" s="42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2"/>
      <c r="X834" s="42"/>
      <c r="Y834" s="42"/>
      <c r="Z834" s="42"/>
      <c r="AA834" s="42"/>
      <c r="AB834" s="42"/>
      <c r="AC834" s="36"/>
      <c r="AD834" s="36"/>
      <c r="AE834" s="36"/>
      <c r="AF834" s="42"/>
      <c r="AG834" s="36"/>
    </row>
    <row r="835" spans="2:33" s="44" customFormat="1" x14ac:dyDescent="0.3">
      <c r="B835" s="23"/>
      <c r="C835" s="40"/>
      <c r="D835" s="40"/>
      <c r="E835" s="41"/>
      <c r="F835" s="41"/>
      <c r="G835" s="41"/>
      <c r="H835" s="42"/>
      <c r="I835" s="42"/>
      <c r="J835" s="42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2"/>
      <c r="X835" s="42"/>
      <c r="Y835" s="42"/>
      <c r="Z835" s="42"/>
      <c r="AA835" s="42"/>
      <c r="AB835" s="42"/>
      <c r="AC835" s="36"/>
      <c r="AD835" s="36"/>
      <c r="AE835" s="36"/>
      <c r="AF835" s="42"/>
      <c r="AG835" s="36"/>
    </row>
    <row r="836" spans="2:33" s="44" customFormat="1" x14ac:dyDescent="0.3">
      <c r="B836" s="23"/>
      <c r="C836" s="40"/>
      <c r="D836" s="40"/>
      <c r="E836" s="41"/>
      <c r="F836" s="41"/>
      <c r="G836" s="41"/>
      <c r="H836" s="42"/>
      <c r="I836" s="42"/>
      <c r="J836" s="42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2"/>
      <c r="X836" s="42"/>
      <c r="Y836" s="42"/>
      <c r="Z836" s="42"/>
      <c r="AA836" s="42"/>
      <c r="AB836" s="42"/>
      <c r="AC836" s="36"/>
      <c r="AD836" s="36"/>
      <c r="AE836" s="36"/>
      <c r="AF836" s="42"/>
      <c r="AG836" s="36"/>
    </row>
    <row r="837" spans="2:33" s="44" customFormat="1" x14ac:dyDescent="0.3">
      <c r="B837" s="23"/>
      <c r="C837" s="40"/>
      <c r="D837" s="40"/>
      <c r="E837" s="41"/>
      <c r="F837" s="41"/>
      <c r="G837" s="41"/>
      <c r="H837" s="42"/>
      <c r="I837" s="42"/>
      <c r="J837" s="42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2"/>
      <c r="X837" s="42"/>
      <c r="Y837" s="42"/>
      <c r="Z837" s="42"/>
      <c r="AA837" s="42"/>
      <c r="AB837" s="42"/>
      <c r="AC837" s="36"/>
      <c r="AD837" s="36"/>
      <c r="AE837" s="36"/>
      <c r="AF837" s="42"/>
      <c r="AG837" s="36"/>
    </row>
    <row r="838" spans="2:33" s="44" customFormat="1" x14ac:dyDescent="0.3">
      <c r="B838" s="23"/>
      <c r="C838" s="40"/>
      <c r="D838" s="40"/>
      <c r="E838" s="41"/>
      <c r="F838" s="41"/>
      <c r="G838" s="41"/>
      <c r="H838" s="42"/>
      <c r="I838" s="42"/>
      <c r="J838" s="42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2"/>
      <c r="X838" s="42"/>
      <c r="Y838" s="42"/>
      <c r="Z838" s="42"/>
      <c r="AA838" s="42"/>
      <c r="AB838" s="42"/>
      <c r="AC838" s="36"/>
      <c r="AD838" s="36"/>
      <c r="AE838" s="36"/>
      <c r="AF838" s="42"/>
      <c r="AG838" s="36"/>
    </row>
    <row r="839" spans="2:33" s="44" customFormat="1" x14ac:dyDescent="0.3">
      <c r="B839" s="23"/>
      <c r="C839" s="40"/>
      <c r="D839" s="40"/>
      <c r="E839" s="41"/>
      <c r="F839" s="41"/>
      <c r="G839" s="41"/>
      <c r="H839" s="42"/>
      <c r="I839" s="42"/>
      <c r="J839" s="42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2"/>
      <c r="X839" s="42"/>
      <c r="Y839" s="42"/>
      <c r="Z839" s="42"/>
      <c r="AA839" s="42"/>
      <c r="AB839" s="42"/>
      <c r="AC839" s="36"/>
      <c r="AD839" s="36"/>
      <c r="AE839" s="36"/>
      <c r="AF839" s="42"/>
      <c r="AG839" s="36"/>
    </row>
    <row r="840" spans="2:33" s="44" customFormat="1" x14ac:dyDescent="0.3">
      <c r="B840" s="23"/>
      <c r="C840" s="40"/>
      <c r="D840" s="40"/>
      <c r="E840" s="41"/>
      <c r="F840" s="41"/>
      <c r="G840" s="41"/>
      <c r="H840" s="42"/>
      <c r="I840" s="42"/>
      <c r="J840" s="42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2"/>
      <c r="X840" s="42"/>
      <c r="Y840" s="42"/>
      <c r="Z840" s="42"/>
      <c r="AA840" s="42"/>
      <c r="AB840" s="42"/>
      <c r="AC840" s="36"/>
      <c r="AD840" s="36"/>
      <c r="AE840" s="36"/>
      <c r="AF840" s="42"/>
      <c r="AG840" s="36"/>
    </row>
    <row r="841" spans="2:33" s="44" customFormat="1" x14ac:dyDescent="0.3">
      <c r="B841" s="23"/>
      <c r="C841" s="40"/>
      <c r="D841" s="40"/>
      <c r="E841" s="41"/>
      <c r="F841" s="41"/>
      <c r="G841" s="41"/>
      <c r="H841" s="42"/>
      <c r="I841" s="42"/>
      <c r="J841" s="42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2"/>
      <c r="X841" s="42"/>
      <c r="Y841" s="42"/>
      <c r="Z841" s="42"/>
      <c r="AA841" s="42"/>
      <c r="AB841" s="42"/>
      <c r="AC841" s="36"/>
      <c r="AD841" s="36"/>
      <c r="AE841" s="36"/>
      <c r="AF841" s="42"/>
      <c r="AG841" s="36"/>
    </row>
    <row r="842" spans="2:33" s="44" customFormat="1" x14ac:dyDescent="0.3">
      <c r="B842" s="23"/>
      <c r="C842" s="40"/>
      <c r="D842" s="40"/>
      <c r="E842" s="41"/>
      <c r="F842" s="41"/>
      <c r="G842" s="41"/>
      <c r="H842" s="42"/>
      <c r="I842" s="42"/>
      <c r="J842" s="42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2"/>
      <c r="X842" s="42"/>
      <c r="Y842" s="42"/>
      <c r="Z842" s="42"/>
      <c r="AA842" s="42"/>
      <c r="AB842" s="42"/>
      <c r="AC842" s="36"/>
      <c r="AD842" s="36"/>
      <c r="AE842" s="36"/>
      <c r="AF842" s="42"/>
      <c r="AG842" s="36"/>
    </row>
    <row r="843" spans="2:33" s="44" customFormat="1" x14ac:dyDescent="0.3">
      <c r="B843" s="23"/>
      <c r="C843" s="40"/>
      <c r="D843" s="40"/>
      <c r="E843" s="41"/>
      <c r="F843" s="41"/>
      <c r="G843" s="41"/>
      <c r="H843" s="42"/>
      <c r="I843" s="42"/>
      <c r="J843" s="42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2"/>
      <c r="X843" s="42"/>
      <c r="Y843" s="42"/>
      <c r="Z843" s="42"/>
      <c r="AA843" s="42"/>
      <c r="AB843" s="42"/>
      <c r="AC843" s="36"/>
      <c r="AD843" s="36"/>
      <c r="AE843" s="36"/>
      <c r="AF843" s="42"/>
      <c r="AG843" s="36"/>
    </row>
    <row r="844" spans="2:33" s="44" customFormat="1" x14ac:dyDescent="0.3">
      <c r="B844" s="23"/>
      <c r="C844" s="40"/>
      <c r="D844" s="40"/>
      <c r="E844" s="41"/>
      <c r="F844" s="41"/>
      <c r="G844" s="41"/>
      <c r="H844" s="42"/>
      <c r="I844" s="42"/>
      <c r="J844" s="42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2"/>
      <c r="X844" s="42"/>
      <c r="Y844" s="42"/>
      <c r="Z844" s="42"/>
      <c r="AA844" s="42"/>
      <c r="AB844" s="42"/>
      <c r="AC844" s="36"/>
      <c r="AD844" s="36"/>
      <c r="AE844" s="36"/>
      <c r="AF844" s="42"/>
      <c r="AG844" s="36"/>
    </row>
    <row r="845" spans="2:33" s="44" customFormat="1" x14ac:dyDescent="0.3">
      <c r="B845" s="23"/>
      <c r="C845" s="40"/>
      <c r="D845" s="40"/>
      <c r="E845" s="41"/>
      <c r="F845" s="41"/>
      <c r="G845" s="41"/>
      <c r="H845" s="42"/>
      <c r="I845" s="42"/>
      <c r="J845" s="42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2"/>
      <c r="X845" s="42"/>
      <c r="Y845" s="42"/>
      <c r="Z845" s="42"/>
      <c r="AA845" s="42"/>
      <c r="AB845" s="42"/>
      <c r="AC845" s="36"/>
      <c r="AD845" s="36"/>
      <c r="AE845" s="36"/>
      <c r="AF845" s="42"/>
      <c r="AG845" s="36"/>
    </row>
    <row r="846" spans="2:33" s="44" customFormat="1" x14ac:dyDescent="0.3">
      <c r="B846" s="23"/>
      <c r="C846" s="40"/>
      <c r="D846" s="40"/>
      <c r="E846" s="41"/>
      <c r="F846" s="41"/>
      <c r="G846" s="41"/>
      <c r="H846" s="42"/>
      <c r="I846" s="42"/>
      <c r="J846" s="42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2"/>
      <c r="X846" s="42"/>
      <c r="Y846" s="42"/>
      <c r="Z846" s="42"/>
      <c r="AA846" s="42"/>
      <c r="AB846" s="42"/>
      <c r="AC846" s="36"/>
      <c r="AD846" s="36"/>
      <c r="AE846" s="36"/>
      <c r="AF846" s="42"/>
      <c r="AG846" s="36"/>
    </row>
    <row r="847" spans="2:33" s="44" customFormat="1" x14ac:dyDescent="0.3">
      <c r="B847" s="23"/>
      <c r="C847" s="40"/>
      <c r="D847" s="40"/>
      <c r="E847" s="41"/>
      <c r="F847" s="41"/>
      <c r="G847" s="41"/>
      <c r="H847" s="42"/>
      <c r="I847" s="42"/>
      <c r="J847" s="42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2"/>
      <c r="X847" s="42"/>
      <c r="Y847" s="42"/>
      <c r="Z847" s="42"/>
      <c r="AA847" s="42"/>
      <c r="AB847" s="42"/>
      <c r="AC847" s="36"/>
      <c r="AD847" s="36"/>
      <c r="AE847" s="36"/>
      <c r="AF847" s="42"/>
      <c r="AG847" s="36"/>
    </row>
    <row r="848" spans="2:33" s="44" customFormat="1" x14ac:dyDescent="0.3">
      <c r="B848" s="23"/>
      <c r="C848" s="40"/>
      <c r="D848" s="40"/>
      <c r="E848" s="41"/>
      <c r="F848" s="41"/>
      <c r="G848" s="41"/>
      <c r="H848" s="42"/>
      <c r="I848" s="42"/>
      <c r="J848" s="42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2"/>
      <c r="X848" s="42"/>
      <c r="Y848" s="42"/>
      <c r="Z848" s="42"/>
      <c r="AA848" s="42"/>
      <c r="AB848" s="42"/>
      <c r="AC848" s="36"/>
      <c r="AD848" s="36"/>
      <c r="AE848" s="36"/>
      <c r="AF848" s="42"/>
      <c r="AG848" s="36"/>
    </row>
    <row r="849" spans="2:33" s="44" customFormat="1" x14ac:dyDescent="0.3">
      <c r="B849" s="23"/>
      <c r="C849" s="40"/>
      <c r="D849" s="40"/>
      <c r="E849" s="41"/>
      <c r="F849" s="41"/>
      <c r="G849" s="41"/>
      <c r="H849" s="42"/>
      <c r="I849" s="42"/>
      <c r="J849" s="42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2"/>
      <c r="X849" s="42"/>
      <c r="Y849" s="42"/>
      <c r="Z849" s="42"/>
      <c r="AA849" s="42"/>
      <c r="AB849" s="42"/>
      <c r="AC849" s="36"/>
      <c r="AD849" s="36"/>
      <c r="AE849" s="36"/>
      <c r="AF849" s="42"/>
      <c r="AG849" s="36"/>
    </row>
    <row r="850" spans="2:33" s="44" customFormat="1" x14ac:dyDescent="0.3">
      <c r="B850" s="23"/>
      <c r="C850" s="40"/>
      <c r="D850" s="40"/>
      <c r="E850" s="41"/>
      <c r="F850" s="41"/>
      <c r="G850" s="41"/>
      <c r="H850" s="42"/>
      <c r="I850" s="42"/>
      <c r="J850" s="42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2"/>
      <c r="X850" s="42"/>
      <c r="Y850" s="42"/>
      <c r="Z850" s="42"/>
      <c r="AA850" s="42"/>
      <c r="AB850" s="42"/>
      <c r="AC850" s="36"/>
      <c r="AD850" s="36"/>
      <c r="AE850" s="36"/>
      <c r="AF850" s="42"/>
      <c r="AG850" s="36"/>
    </row>
    <row r="851" spans="2:33" s="44" customFormat="1" x14ac:dyDescent="0.3">
      <c r="B851" s="23"/>
      <c r="C851" s="40"/>
      <c r="D851" s="40"/>
      <c r="E851" s="41"/>
      <c r="F851" s="41"/>
      <c r="G851" s="41"/>
      <c r="H851" s="42"/>
      <c r="I851" s="42"/>
      <c r="J851" s="42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2"/>
      <c r="X851" s="42"/>
      <c r="Y851" s="42"/>
      <c r="Z851" s="42"/>
      <c r="AA851" s="42"/>
      <c r="AB851" s="42"/>
      <c r="AC851" s="36"/>
      <c r="AD851" s="36"/>
      <c r="AE851" s="36"/>
      <c r="AF851" s="42"/>
      <c r="AG851" s="36"/>
    </row>
    <row r="852" spans="2:33" s="44" customFormat="1" x14ac:dyDescent="0.3">
      <c r="B852" s="23"/>
      <c r="C852" s="40"/>
      <c r="D852" s="40"/>
      <c r="E852" s="41"/>
      <c r="F852" s="41"/>
      <c r="G852" s="41"/>
      <c r="H852" s="42"/>
      <c r="I852" s="42"/>
      <c r="J852" s="42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2"/>
      <c r="X852" s="42"/>
      <c r="Y852" s="42"/>
      <c r="Z852" s="42"/>
      <c r="AA852" s="42"/>
      <c r="AB852" s="42"/>
      <c r="AC852" s="36"/>
      <c r="AD852" s="36"/>
      <c r="AE852" s="36"/>
      <c r="AF852" s="42"/>
      <c r="AG852" s="36"/>
    </row>
    <row r="853" spans="2:33" s="44" customFormat="1" x14ac:dyDescent="0.3">
      <c r="B853" s="23"/>
      <c r="C853" s="40"/>
      <c r="D853" s="40"/>
      <c r="E853" s="41"/>
      <c r="F853" s="41"/>
      <c r="G853" s="41"/>
      <c r="H853" s="42"/>
      <c r="I853" s="42"/>
      <c r="J853" s="42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2"/>
      <c r="X853" s="42"/>
      <c r="Y853" s="42"/>
      <c r="Z853" s="42"/>
      <c r="AA853" s="42"/>
      <c r="AB853" s="42"/>
      <c r="AC853" s="36"/>
      <c r="AD853" s="36"/>
      <c r="AE853" s="36"/>
      <c r="AF853" s="42"/>
      <c r="AG853" s="36"/>
    </row>
    <row r="854" spans="2:33" s="44" customFormat="1" x14ac:dyDescent="0.3">
      <c r="B854" s="23"/>
      <c r="C854" s="40"/>
      <c r="D854" s="40"/>
      <c r="E854" s="41"/>
      <c r="F854" s="41"/>
      <c r="G854" s="41"/>
      <c r="H854" s="42"/>
      <c r="I854" s="42"/>
      <c r="J854" s="42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2"/>
      <c r="X854" s="42"/>
      <c r="Y854" s="42"/>
      <c r="Z854" s="42"/>
      <c r="AA854" s="42"/>
      <c r="AB854" s="42"/>
      <c r="AC854" s="36"/>
      <c r="AD854" s="36"/>
      <c r="AE854" s="36"/>
      <c r="AF854" s="42"/>
      <c r="AG854" s="36"/>
    </row>
    <row r="855" spans="2:33" s="44" customFormat="1" x14ac:dyDescent="0.3">
      <c r="B855" s="23"/>
      <c r="C855" s="40"/>
      <c r="D855" s="40"/>
      <c r="E855" s="41"/>
      <c r="F855" s="41"/>
      <c r="G855" s="41"/>
      <c r="H855" s="42"/>
      <c r="I855" s="42"/>
      <c r="J855" s="42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2"/>
      <c r="X855" s="42"/>
      <c r="Y855" s="42"/>
      <c r="Z855" s="42"/>
      <c r="AA855" s="42"/>
      <c r="AB855" s="42"/>
      <c r="AC855" s="36"/>
      <c r="AD855" s="36"/>
      <c r="AE855" s="36"/>
      <c r="AF855" s="42"/>
      <c r="AG855" s="36"/>
    </row>
    <row r="856" spans="2:33" s="44" customFormat="1" x14ac:dyDescent="0.3">
      <c r="B856" s="23"/>
      <c r="C856" s="40"/>
      <c r="D856" s="40"/>
      <c r="E856" s="41"/>
      <c r="F856" s="41"/>
      <c r="G856" s="41"/>
      <c r="H856" s="42"/>
      <c r="I856" s="42"/>
      <c r="J856" s="42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2"/>
      <c r="X856" s="42"/>
      <c r="Y856" s="42"/>
      <c r="Z856" s="42"/>
      <c r="AA856" s="42"/>
      <c r="AB856" s="42"/>
      <c r="AC856" s="36"/>
      <c r="AD856" s="36"/>
      <c r="AE856" s="36"/>
      <c r="AF856" s="42"/>
      <c r="AG856" s="36"/>
    </row>
    <row r="857" spans="2:33" s="44" customFormat="1" x14ac:dyDescent="0.3">
      <c r="B857" s="23"/>
      <c r="C857" s="40"/>
      <c r="D857" s="40"/>
      <c r="E857" s="41"/>
      <c r="F857" s="41"/>
      <c r="G857" s="41"/>
      <c r="H857" s="42"/>
      <c r="I857" s="42"/>
      <c r="J857" s="42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2"/>
      <c r="X857" s="42"/>
      <c r="Y857" s="42"/>
      <c r="Z857" s="42"/>
      <c r="AA857" s="42"/>
      <c r="AB857" s="42"/>
      <c r="AC857" s="36"/>
      <c r="AD857" s="36"/>
      <c r="AE857" s="36"/>
      <c r="AF857" s="42"/>
      <c r="AG857" s="36"/>
    </row>
    <row r="858" spans="2:33" s="44" customFormat="1" x14ac:dyDescent="0.3">
      <c r="B858" s="23"/>
      <c r="C858" s="40"/>
      <c r="D858" s="40"/>
      <c r="E858" s="41"/>
      <c r="F858" s="41"/>
      <c r="G858" s="41"/>
      <c r="H858" s="42"/>
      <c r="I858" s="42"/>
      <c r="J858" s="42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2"/>
      <c r="X858" s="42"/>
      <c r="Y858" s="42"/>
      <c r="Z858" s="42"/>
      <c r="AA858" s="42"/>
      <c r="AB858" s="42"/>
      <c r="AC858" s="36"/>
      <c r="AD858" s="36"/>
      <c r="AE858" s="36"/>
      <c r="AF858" s="42"/>
      <c r="AG858" s="36"/>
    </row>
    <row r="859" spans="2:33" s="44" customFormat="1" x14ac:dyDescent="0.3">
      <c r="B859" s="23"/>
      <c r="C859" s="40"/>
      <c r="D859" s="40"/>
      <c r="E859" s="41"/>
      <c r="F859" s="41"/>
      <c r="G859" s="41"/>
      <c r="H859" s="42"/>
      <c r="I859" s="42"/>
      <c r="J859" s="42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2"/>
      <c r="X859" s="42"/>
      <c r="Y859" s="42"/>
      <c r="Z859" s="42"/>
      <c r="AA859" s="42"/>
      <c r="AB859" s="42"/>
      <c r="AC859" s="36"/>
      <c r="AD859" s="36"/>
      <c r="AE859" s="36"/>
      <c r="AF859" s="42"/>
      <c r="AG859" s="36"/>
    </row>
    <row r="860" spans="2:33" s="44" customFormat="1" x14ac:dyDescent="0.3">
      <c r="B860" s="23"/>
      <c r="C860" s="40"/>
      <c r="D860" s="40"/>
      <c r="E860" s="41"/>
      <c r="F860" s="41"/>
      <c r="G860" s="41"/>
      <c r="H860" s="42"/>
      <c r="I860" s="42"/>
      <c r="J860" s="42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2"/>
      <c r="X860" s="42"/>
      <c r="Y860" s="42"/>
      <c r="Z860" s="42"/>
      <c r="AA860" s="42"/>
      <c r="AB860" s="42"/>
      <c r="AC860" s="36"/>
      <c r="AD860" s="36"/>
      <c r="AE860" s="36"/>
      <c r="AF860" s="42"/>
      <c r="AG860" s="36"/>
    </row>
    <row r="861" spans="2:33" s="44" customFormat="1" x14ac:dyDescent="0.3">
      <c r="B861" s="23"/>
      <c r="C861" s="40"/>
      <c r="D861" s="40"/>
      <c r="E861" s="41"/>
      <c r="F861" s="41"/>
      <c r="G861" s="41"/>
      <c r="H861" s="42"/>
      <c r="I861" s="42"/>
      <c r="J861" s="42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2"/>
      <c r="X861" s="42"/>
      <c r="Y861" s="42"/>
      <c r="Z861" s="42"/>
      <c r="AA861" s="42"/>
      <c r="AB861" s="42"/>
      <c r="AC861" s="36"/>
      <c r="AD861" s="36"/>
      <c r="AE861" s="36"/>
      <c r="AF861" s="42"/>
      <c r="AG861" s="36"/>
    </row>
    <row r="862" spans="2:33" s="44" customFormat="1" x14ac:dyDescent="0.3">
      <c r="B862" s="23"/>
      <c r="C862" s="40"/>
      <c r="D862" s="40"/>
      <c r="E862" s="41"/>
      <c r="F862" s="41"/>
      <c r="G862" s="41"/>
      <c r="H862" s="42"/>
      <c r="I862" s="42"/>
      <c r="J862" s="42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2"/>
      <c r="X862" s="42"/>
      <c r="Y862" s="42"/>
      <c r="Z862" s="42"/>
      <c r="AA862" s="42"/>
      <c r="AB862" s="42"/>
      <c r="AC862" s="36"/>
      <c r="AD862" s="36"/>
      <c r="AE862" s="36"/>
      <c r="AF862" s="42"/>
      <c r="AG862" s="36"/>
    </row>
    <row r="863" spans="2:33" s="44" customFormat="1" x14ac:dyDescent="0.3">
      <c r="B863" s="23"/>
      <c r="C863" s="40"/>
      <c r="D863" s="40"/>
      <c r="E863" s="41"/>
      <c r="F863" s="41"/>
      <c r="G863" s="41"/>
      <c r="H863" s="42"/>
      <c r="I863" s="42"/>
      <c r="J863" s="42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2"/>
      <c r="X863" s="42"/>
      <c r="Y863" s="42"/>
      <c r="Z863" s="42"/>
      <c r="AA863" s="42"/>
      <c r="AB863" s="42"/>
      <c r="AC863" s="36"/>
      <c r="AD863" s="36"/>
      <c r="AE863" s="36"/>
      <c r="AF863" s="42"/>
      <c r="AG863" s="36"/>
    </row>
    <row r="864" spans="2:33" s="44" customFormat="1" x14ac:dyDescent="0.3">
      <c r="B864" s="23"/>
      <c r="C864" s="40"/>
      <c r="D864" s="40"/>
      <c r="E864" s="41"/>
      <c r="F864" s="41"/>
      <c r="G864" s="41"/>
      <c r="H864" s="42"/>
      <c r="I864" s="42"/>
      <c r="J864" s="42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2"/>
      <c r="X864" s="42"/>
      <c r="Y864" s="42"/>
      <c r="Z864" s="42"/>
      <c r="AA864" s="42"/>
      <c r="AB864" s="42"/>
      <c r="AC864" s="36"/>
      <c r="AD864" s="36"/>
      <c r="AE864" s="36"/>
      <c r="AF864" s="42"/>
      <c r="AG864" s="36"/>
    </row>
    <row r="865" spans="2:33" s="44" customFormat="1" x14ac:dyDescent="0.3">
      <c r="B865" s="23"/>
      <c r="C865" s="40"/>
      <c r="D865" s="40"/>
      <c r="E865" s="41"/>
      <c r="F865" s="41"/>
      <c r="G865" s="41"/>
      <c r="H865" s="42"/>
      <c r="I865" s="42"/>
      <c r="J865" s="42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2"/>
      <c r="X865" s="42"/>
      <c r="Y865" s="42"/>
      <c r="Z865" s="42"/>
      <c r="AA865" s="42"/>
      <c r="AB865" s="42"/>
      <c r="AC865" s="36"/>
      <c r="AD865" s="36"/>
      <c r="AE865" s="36"/>
      <c r="AF865" s="42"/>
      <c r="AG865" s="36"/>
    </row>
    <row r="866" spans="2:33" s="44" customFormat="1" x14ac:dyDescent="0.3">
      <c r="B866" s="23"/>
      <c r="C866" s="40"/>
      <c r="D866" s="40"/>
      <c r="E866" s="41"/>
      <c r="F866" s="41"/>
      <c r="G866" s="41"/>
      <c r="H866" s="42"/>
      <c r="I866" s="42"/>
      <c r="J866" s="42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2"/>
      <c r="X866" s="42"/>
      <c r="Y866" s="42"/>
      <c r="Z866" s="42"/>
      <c r="AA866" s="42"/>
      <c r="AB866" s="42"/>
      <c r="AC866" s="36"/>
      <c r="AD866" s="36"/>
      <c r="AE866" s="36"/>
      <c r="AF866" s="42"/>
      <c r="AG866" s="36"/>
    </row>
    <row r="867" spans="2:33" s="44" customFormat="1" x14ac:dyDescent="0.3">
      <c r="B867" s="23"/>
      <c r="C867" s="40"/>
      <c r="D867" s="40"/>
      <c r="E867" s="41"/>
      <c r="F867" s="41"/>
      <c r="G867" s="41"/>
      <c r="H867" s="42"/>
      <c r="I867" s="42"/>
      <c r="J867" s="42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2"/>
      <c r="X867" s="42"/>
      <c r="Y867" s="42"/>
      <c r="Z867" s="42"/>
      <c r="AA867" s="42"/>
      <c r="AB867" s="42"/>
      <c r="AC867" s="36"/>
      <c r="AD867" s="36"/>
      <c r="AE867" s="36"/>
      <c r="AF867" s="42"/>
      <c r="AG867" s="36"/>
    </row>
    <row r="868" spans="2:33" s="44" customFormat="1" x14ac:dyDescent="0.3">
      <c r="B868" s="23"/>
      <c r="C868" s="40"/>
      <c r="D868" s="40"/>
      <c r="E868" s="41"/>
      <c r="F868" s="41"/>
      <c r="G868" s="41"/>
      <c r="H868" s="42"/>
      <c r="I868" s="42"/>
      <c r="J868" s="42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2"/>
      <c r="X868" s="42"/>
      <c r="Y868" s="42"/>
      <c r="Z868" s="42"/>
      <c r="AA868" s="42"/>
      <c r="AB868" s="42"/>
      <c r="AC868" s="36"/>
      <c r="AD868" s="36"/>
      <c r="AE868" s="36"/>
      <c r="AF868" s="42"/>
      <c r="AG868" s="36"/>
    </row>
    <row r="869" spans="2:33" s="44" customFormat="1" x14ac:dyDescent="0.3">
      <c r="B869" s="23"/>
      <c r="C869" s="40"/>
      <c r="D869" s="40"/>
      <c r="E869" s="41"/>
      <c r="F869" s="41"/>
      <c r="G869" s="41"/>
      <c r="H869" s="42"/>
      <c r="I869" s="42"/>
      <c r="J869" s="42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2"/>
      <c r="X869" s="42"/>
      <c r="Y869" s="42"/>
      <c r="Z869" s="42"/>
      <c r="AA869" s="42"/>
      <c r="AB869" s="42"/>
      <c r="AC869" s="36"/>
      <c r="AD869" s="36"/>
      <c r="AE869" s="36"/>
      <c r="AF869" s="42"/>
      <c r="AG869" s="36"/>
    </row>
    <row r="870" spans="2:33" s="44" customFormat="1" x14ac:dyDescent="0.3">
      <c r="B870" s="23"/>
      <c r="C870" s="40"/>
      <c r="D870" s="40"/>
      <c r="E870" s="41"/>
      <c r="F870" s="41"/>
      <c r="G870" s="41"/>
      <c r="H870" s="42"/>
      <c r="I870" s="42"/>
      <c r="J870" s="42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2"/>
      <c r="X870" s="42"/>
      <c r="Y870" s="42"/>
      <c r="Z870" s="42"/>
      <c r="AA870" s="42"/>
      <c r="AB870" s="42"/>
      <c r="AC870" s="36"/>
      <c r="AD870" s="36"/>
      <c r="AE870" s="36"/>
      <c r="AF870" s="42"/>
      <c r="AG870" s="36"/>
    </row>
    <row r="871" spans="2:33" s="44" customFormat="1" x14ac:dyDescent="0.3">
      <c r="B871" s="23"/>
      <c r="C871" s="40"/>
      <c r="D871" s="40"/>
      <c r="E871" s="41"/>
      <c r="F871" s="41"/>
      <c r="G871" s="41"/>
      <c r="H871" s="42"/>
      <c r="I871" s="42"/>
      <c r="J871" s="42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2"/>
      <c r="X871" s="42"/>
      <c r="Y871" s="42"/>
      <c r="Z871" s="42"/>
      <c r="AA871" s="42"/>
      <c r="AB871" s="42"/>
      <c r="AC871" s="36"/>
      <c r="AD871" s="36"/>
      <c r="AE871" s="36"/>
      <c r="AF871" s="42"/>
      <c r="AG871" s="36"/>
    </row>
    <row r="872" spans="2:33" s="44" customFormat="1" x14ac:dyDescent="0.3">
      <c r="B872" s="23"/>
      <c r="C872" s="40"/>
      <c r="D872" s="40"/>
      <c r="E872" s="41"/>
      <c r="F872" s="41"/>
      <c r="G872" s="41"/>
      <c r="H872" s="42"/>
      <c r="I872" s="42"/>
      <c r="J872" s="42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2"/>
      <c r="X872" s="42"/>
      <c r="Y872" s="42"/>
      <c r="Z872" s="42"/>
      <c r="AA872" s="42"/>
      <c r="AB872" s="42"/>
      <c r="AC872" s="36"/>
      <c r="AD872" s="36"/>
      <c r="AE872" s="36"/>
      <c r="AF872" s="42"/>
      <c r="AG872" s="36"/>
    </row>
    <row r="873" spans="2:33" s="44" customFormat="1" x14ac:dyDescent="0.3">
      <c r="B873" s="23"/>
      <c r="C873" s="40"/>
      <c r="D873" s="40"/>
      <c r="E873" s="41"/>
      <c r="F873" s="41"/>
      <c r="G873" s="41"/>
      <c r="H873" s="42"/>
      <c r="I873" s="42"/>
      <c r="J873" s="42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2"/>
      <c r="X873" s="42"/>
      <c r="Y873" s="42"/>
      <c r="Z873" s="42"/>
      <c r="AA873" s="42"/>
      <c r="AB873" s="42"/>
      <c r="AC873" s="36"/>
      <c r="AD873" s="36"/>
      <c r="AE873" s="36"/>
      <c r="AF873" s="42"/>
      <c r="AG873" s="36"/>
    </row>
    <row r="874" spans="2:33" s="44" customFormat="1" x14ac:dyDescent="0.3">
      <c r="B874" s="23"/>
      <c r="C874" s="40"/>
      <c r="D874" s="40"/>
      <c r="E874" s="41"/>
      <c r="F874" s="41"/>
      <c r="G874" s="41"/>
      <c r="H874" s="42"/>
      <c r="I874" s="42"/>
      <c r="J874" s="42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2"/>
      <c r="X874" s="42"/>
      <c r="Y874" s="42"/>
      <c r="Z874" s="42"/>
      <c r="AA874" s="42"/>
      <c r="AB874" s="42"/>
      <c r="AC874" s="36"/>
      <c r="AD874" s="36"/>
      <c r="AE874" s="36"/>
      <c r="AF874" s="42"/>
      <c r="AG874" s="36"/>
    </row>
    <row r="875" spans="2:33" s="44" customFormat="1" x14ac:dyDescent="0.3">
      <c r="B875" s="23"/>
      <c r="C875" s="40"/>
      <c r="D875" s="40"/>
      <c r="E875" s="41"/>
      <c r="F875" s="41"/>
      <c r="G875" s="41"/>
      <c r="H875" s="42"/>
      <c r="I875" s="42"/>
      <c r="J875" s="42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2"/>
      <c r="X875" s="42"/>
      <c r="Y875" s="42"/>
      <c r="Z875" s="42"/>
      <c r="AA875" s="42"/>
      <c r="AB875" s="42"/>
      <c r="AC875" s="36"/>
      <c r="AD875" s="36"/>
      <c r="AE875" s="36"/>
      <c r="AF875" s="42"/>
      <c r="AG875" s="36"/>
    </row>
    <row r="876" spans="2:33" s="44" customFormat="1" x14ac:dyDescent="0.3">
      <c r="B876" s="23"/>
      <c r="C876" s="40"/>
      <c r="D876" s="40"/>
      <c r="E876" s="41"/>
      <c r="F876" s="41"/>
      <c r="G876" s="41"/>
      <c r="H876" s="42"/>
      <c r="I876" s="42"/>
      <c r="J876" s="42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2"/>
      <c r="X876" s="42"/>
      <c r="Y876" s="42"/>
      <c r="Z876" s="42"/>
      <c r="AA876" s="42"/>
      <c r="AB876" s="42"/>
      <c r="AC876" s="36"/>
      <c r="AD876" s="36"/>
      <c r="AE876" s="36"/>
      <c r="AF876" s="42"/>
      <c r="AG876" s="36"/>
    </row>
    <row r="877" spans="2:33" s="44" customFormat="1" x14ac:dyDescent="0.3">
      <c r="B877" s="23"/>
      <c r="C877" s="40"/>
      <c r="D877" s="40"/>
      <c r="E877" s="41"/>
      <c r="F877" s="41"/>
      <c r="G877" s="41"/>
      <c r="H877" s="42"/>
      <c r="I877" s="42"/>
      <c r="J877" s="42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2"/>
      <c r="X877" s="42"/>
      <c r="Y877" s="42"/>
      <c r="Z877" s="42"/>
      <c r="AA877" s="42"/>
      <c r="AB877" s="42"/>
      <c r="AC877" s="36"/>
      <c r="AD877" s="36"/>
      <c r="AE877" s="36"/>
      <c r="AF877" s="42"/>
      <c r="AG877" s="36"/>
    </row>
    <row r="878" spans="2:33" s="44" customFormat="1" x14ac:dyDescent="0.3">
      <c r="B878" s="23"/>
      <c r="C878" s="40"/>
      <c r="D878" s="40"/>
      <c r="E878" s="41"/>
      <c r="F878" s="41"/>
      <c r="G878" s="41"/>
      <c r="H878" s="42"/>
      <c r="I878" s="42"/>
      <c r="J878" s="42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2"/>
      <c r="X878" s="42"/>
      <c r="Y878" s="42"/>
      <c r="Z878" s="42"/>
      <c r="AA878" s="42"/>
      <c r="AB878" s="42"/>
      <c r="AC878" s="36"/>
      <c r="AD878" s="36"/>
      <c r="AE878" s="36"/>
      <c r="AF878" s="42"/>
      <c r="AG878" s="36"/>
    </row>
    <row r="879" spans="2:33" s="44" customFormat="1" x14ac:dyDescent="0.3">
      <c r="B879" s="23"/>
      <c r="C879" s="40"/>
      <c r="D879" s="40"/>
      <c r="E879" s="41"/>
      <c r="F879" s="41"/>
      <c r="G879" s="41"/>
      <c r="H879" s="42"/>
      <c r="I879" s="42"/>
      <c r="J879" s="42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2"/>
      <c r="X879" s="42"/>
      <c r="Y879" s="42"/>
      <c r="Z879" s="42"/>
      <c r="AA879" s="42"/>
      <c r="AB879" s="42"/>
      <c r="AC879" s="36"/>
      <c r="AD879" s="36"/>
      <c r="AE879" s="36"/>
      <c r="AF879" s="42"/>
      <c r="AG879" s="36"/>
    </row>
    <row r="880" spans="2:33" s="44" customFormat="1" x14ac:dyDescent="0.3">
      <c r="B880" s="23"/>
      <c r="C880" s="40"/>
      <c r="D880" s="40"/>
      <c r="E880" s="41"/>
      <c r="F880" s="41"/>
      <c r="G880" s="41"/>
      <c r="H880" s="42"/>
      <c r="I880" s="42"/>
      <c r="J880" s="42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2"/>
      <c r="X880" s="42"/>
      <c r="Y880" s="42"/>
      <c r="Z880" s="42"/>
      <c r="AA880" s="42"/>
      <c r="AB880" s="42"/>
      <c r="AC880" s="36"/>
      <c r="AD880" s="36"/>
      <c r="AE880" s="36"/>
      <c r="AF880" s="42"/>
      <c r="AG880" s="36"/>
    </row>
    <row r="881" spans="2:33" s="44" customFormat="1" x14ac:dyDescent="0.3">
      <c r="B881" s="23"/>
      <c r="C881" s="40"/>
      <c r="D881" s="40"/>
      <c r="E881" s="41"/>
      <c r="F881" s="41"/>
      <c r="G881" s="41"/>
      <c r="H881" s="42"/>
      <c r="I881" s="42"/>
      <c r="J881" s="42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2"/>
      <c r="X881" s="42"/>
      <c r="Y881" s="42"/>
      <c r="Z881" s="42"/>
      <c r="AA881" s="42"/>
      <c r="AB881" s="42"/>
      <c r="AC881" s="36"/>
      <c r="AD881" s="36"/>
      <c r="AE881" s="36"/>
      <c r="AF881" s="42"/>
      <c r="AG881" s="36"/>
    </row>
    <row r="882" spans="2:33" s="44" customFormat="1" x14ac:dyDescent="0.3">
      <c r="B882" s="23"/>
      <c r="C882" s="40"/>
      <c r="D882" s="40"/>
      <c r="E882" s="41"/>
      <c r="F882" s="41"/>
      <c r="G882" s="41"/>
      <c r="H882" s="42"/>
      <c r="I882" s="42"/>
      <c r="J882" s="42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2"/>
      <c r="X882" s="42"/>
      <c r="Y882" s="42"/>
      <c r="Z882" s="42"/>
      <c r="AA882" s="42"/>
      <c r="AB882" s="42"/>
      <c r="AC882" s="36"/>
      <c r="AD882" s="36"/>
      <c r="AE882" s="36"/>
      <c r="AF882" s="42"/>
      <c r="AG882" s="36"/>
    </row>
    <row r="883" spans="2:33" s="44" customFormat="1" x14ac:dyDescent="0.3">
      <c r="B883" s="23"/>
      <c r="C883" s="40"/>
      <c r="D883" s="40"/>
      <c r="E883" s="41"/>
      <c r="F883" s="41"/>
      <c r="G883" s="41"/>
      <c r="H883" s="42"/>
      <c r="I883" s="42"/>
      <c r="J883" s="42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2"/>
      <c r="X883" s="42"/>
      <c r="Y883" s="42"/>
      <c r="Z883" s="42"/>
      <c r="AA883" s="42"/>
      <c r="AB883" s="42"/>
      <c r="AC883" s="36"/>
      <c r="AD883" s="36"/>
      <c r="AE883" s="36"/>
      <c r="AF883" s="42"/>
      <c r="AG883" s="36"/>
    </row>
    <row r="884" spans="2:33" s="44" customFormat="1" x14ac:dyDescent="0.3">
      <c r="B884" s="23"/>
      <c r="C884" s="40"/>
      <c r="D884" s="40"/>
      <c r="E884" s="41"/>
      <c r="F884" s="41"/>
      <c r="G884" s="41"/>
      <c r="H884" s="42"/>
      <c r="I884" s="42"/>
      <c r="J884" s="42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2"/>
      <c r="X884" s="42"/>
      <c r="Y884" s="42"/>
      <c r="Z884" s="42"/>
      <c r="AA884" s="42"/>
      <c r="AB884" s="42"/>
      <c r="AC884" s="36"/>
      <c r="AD884" s="36"/>
      <c r="AE884" s="36"/>
      <c r="AF884" s="42"/>
      <c r="AG884" s="36"/>
    </row>
    <row r="885" spans="2:33" s="44" customFormat="1" x14ac:dyDescent="0.3">
      <c r="B885" s="23"/>
      <c r="C885" s="40"/>
      <c r="D885" s="40"/>
      <c r="E885" s="41"/>
      <c r="F885" s="41"/>
      <c r="G885" s="41"/>
      <c r="H885" s="42"/>
      <c r="I885" s="42"/>
      <c r="J885" s="42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2"/>
      <c r="X885" s="42"/>
      <c r="Y885" s="42"/>
      <c r="Z885" s="42"/>
      <c r="AA885" s="42"/>
      <c r="AB885" s="42"/>
      <c r="AC885" s="36"/>
      <c r="AD885" s="36"/>
      <c r="AE885" s="36"/>
      <c r="AF885" s="42"/>
      <c r="AG885" s="36"/>
    </row>
    <row r="886" spans="2:33" s="44" customFormat="1" x14ac:dyDescent="0.3">
      <c r="B886" s="23"/>
      <c r="C886" s="40"/>
      <c r="D886" s="40"/>
      <c r="E886" s="41"/>
      <c r="F886" s="41"/>
      <c r="G886" s="41"/>
      <c r="H886" s="42"/>
      <c r="I886" s="42"/>
      <c r="J886" s="42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2"/>
      <c r="X886" s="42"/>
      <c r="Y886" s="42"/>
      <c r="Z886" s="42"/>
      <c r="AA886" s="42"/>
      <c r="AB886" s="42"/>
      <c r="AC886" s="36"/>
      <c r="AD886" s="36"/>
      <c r="AE886" s="36"/>
      <c r="AF886" s="42"/>
      <c r="AG886" s="36"/>
    </row>
    <row r="887" spans="2:33" s="44" customFormat="1" x14ac:dyDescent="0.3">
      <c r="B887" s="23"/>
      <c r="C887" s="40"/>
      <c r="D887" s="40"/>
      <c r="E887" s="41"/>
      <c r="F887" s="41"/>
      <c r="G887" s="41"/>
      <c r="H887" s="42"/>
      <c r="I887" s="42"/>
      <c r="J887" s="42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2"/>
      <c r="X887" s="42"/>
      <c r="Y887" s="42"/>
      <c r="Z887" s="42"/>
      <c r="AA887" s="42"/>
      <c r="AB887" s="42"/>
      <c r="AC887" s="36"/>
      <c r="AD887" s="36"/>
      <c r="AE887" s="36"/>
      <c r="AF887" s="42"/>
      <c r="AG887" s="36"/>
    </row>
    <row r="888" spans="2:33" s="44" customFormat="1" x14ac:dyDescent="0.3">
      <c r="B888" s="23"/>
      <c r="C888" s="40"/>
      <c r="D888" s="40"/>
      <c r="E888" s="41"/>
      <c r="F888" s="41"/>
      <c r="G888" s="41"/>
      <c r="H888" s="42"/>
      <c r="I888" s="42"/>
      <c r="J888" s="42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2"/>
      <c r="X888" s="42"/>
      <c r="Y888" s="42"/>
      <c r="Z888" s="42"/>
      <c r="AA888" s="42"/>
      <c r="AB888" s="42"/>
      <c r="AC888" s="36"/>
      <c r="AD888" s="36"/>
      <c r="AE888" s="36"/>
      <c r="AF888" s="42"/>
      <c r="AG888" s="36"/>
    </row>
    <row r="889" spans="2:33" s="44" customFormat="1" x14ac:dyDescent="0.3">
      <c r="B889" s="23"/>
      <c r="C889" s="40"/>
      <c r="D889" s="40"/>
      <c r="E889" s="41"/>
      <c r="F889" s="41"/>
      <c r="G889" s="41"/>
      <c r="H889" s="42"/>
      <c r="I889" s="42"/>
      <c r="J889" s="42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2"/>
      <c r="X889" s="42"/>
      <c r="Y889" s="42"/>
      <c r="Z889" s="42"/>
      <c r="AA889" s="42"/>
      <c r="AB889" s="42"/>
      <c r="AC889" s="36"/>
      <c r="AD889" s="36"/>
      <c r="AE889" s="36"/>
      <c r="AF889" s="42"/>
      <c r="AG889" s="36"/>
    </row>
    <row r="890" spans="2:33" s="44" customFormat="1" x14ac:dyDescent="0.3">
      <c r="B890" s="23"/>
      <c r="C890" s="40"/>
      <c r="D890" s="40"/>
      <c r="E890" s="41"/>
      <c r="F890" s="41"/>
      <c r="G890" s="41"/>
      <c r="H890" s="42"/>
      <c r="I890" s="42"/>
      <c r="J890" s="42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2"/>
      <c r="X890" s="42"/>
      <c r="Y890" s="42"/>
      <c r="Z890" s="42"/>
      <c r="AA890" s="42"/>
      <c r="AB890" s="42"/>
      <c r="AC890" s="36"/>
      <c r="AD890" s="36"/>
      <c r="AE890" s="36"/>
      <c r="AF890" s="42"/>
      <c r="AG890" s="36"/>
    </row>
    <row r="891" spans="2:33" s="44" customFormat="1" x14ac:dyDescent="0.3">
      <c r="B891" s="23"/>
      <c r="C891" s="40"/>
      <c r="D891" s="40"/>
      <c r="E891" s="41"/>
      <c r="F891" s="41"/>
      <c r="G891" s="41"/>
      <c r="H891" s="42"/>
      <c r="I891" s="42"/>
      <c r="J891" s="42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2"/>
      <c r="X891" s="42"/>
      <c r="Y891" s="42"/>
      <c r="Z891" s="42"/>
      <c r="AA891" s="42"/>
      <c r="AB891" s="42"/>
      <c r="AC891" s="36"/>
      <c r="AD891" s="36"/>
      <c r="AE891" s="36"/>
      <c r="AF891" s="42"/>
      <c r="AG891" s="36"/>
    </row>
    <row r="892" spans="2:33" s="44" customFormat="1" x14ac:dyDescent="0.3">
      <c r="B892" s="23"/>
      <c r="C892" s="40"/>
      <c r="D892" s="40"/>
      <c r="E892" s="41"/>
      <c r="F892" s="41"/>
      <c r="G892" s="41"/>
      <c r="H892" s="42"/>
      <c r="I892" s="42"/>
      <c r="J892" s="42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2"/>
      <c r="X892" s="42"/>
      <c r="Y892" s="42"/>
      <c r="Z892" s="42"/>
      <c r="AA892" s="42"/>
      <c r="AB892" s="42"/>
      <c r="AC892" s="36"/>
      <c r="AD892" s="36"/>
      <c r="AE892" s="36"/>
      <c r="AF892" s="42"/>
      <c r="AG892" s="36"/>
    </row>
    <row r="893" spans="2:33" s="44" customFormat="1" x14ac:dyDescent="0.3">
      <c r="B893" s="23"/>
      <c r="C893" s="40"/>
      <c r="D893" s="40"/>
      <c r="E893" s="41"/>
      <c r="F893" s="41"/>
      <c r="G893" s="41"/>
      <c r="H893" s="42"/>
      <c r="I893" s="42"/>
      <c r="J893" s="42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2"/>
      <c r="X893" s="42"/>
      <c r="Y893" s="42"/>
      <c r="Z893" s="42"/>
      <c r="AA893" s="42"/>
      <c r="AB893" s="42"/>
      <c r="AC893" s="36"/>
      <c r="AD893" s="36"/>
      <c r="AE893" s="36"/>
      <c r="AF893" s="42"/>
      <c r="AG893" s="36"/>
    </row>
    <row r="894" spans="2:33" s="44" customFormat="1" x14ac:dyDescent="0.3">
      <c r="B894" s="23"/>
      <c r="C894" s="40"/>
      <c r="D894" s="40"/>
      <c r="E894" s="41"/>
      <c r="F894" s="41"/>
      <c r="G894" s="41"/>
      <c r="H894" s="42"/>
      <c r="I894" s="42"/>
      <c r="J894" s="42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2"/>
      <c r="X894" s="42"/>
      <c r="Y894" s="42"/>
      <c r="Z894" s="42"/>
      <c r="AA894" s="42"/>
      <c r="AB894" s="42"/>
      <c r="AC894" s="36"/>
      <c r="AD894" s="36"/>
      <c r="AE894" s="36"/>
      <c r="AF894" s="42"/>
      <c r="AG894" s="36"/>
    </row>
    <row r="895" spans="2:33" s="44" customFormat="1" x14ac:dyDescent="0.3">
      <c r="B895" s="23"/>
      <c r="C895" s="40"/>
      <c r="D895" s="40"/>
      <c r="E895" s="41"/>
      <c r="F895" s="41"/>
      <c r="G895" s="41"/>
      <c r="H895" s="42"/>
      <c r="I895" s="42"/>
      <c r="J895" s="42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2"/>
      <c r="X895" s="42"/>
      <c r="Y895" s="42"/>
      <c r="Z895" s="42"/>
      <c r="AA895" s="42"/>
      <c r="AB895" s="42"/>
      <c r="AC895" s="36"/>
      <c r="AD895" s="36"/>
      <c r="AE895" s="36"/>
      <c r="AF895" s="42"/>
      <c r="AG895" s="36"/>
    </row>
    <row r="896" spans="2:33" s="44" customFormat="1" x14ac:dyDescent="0.3">
      <c r="B896" s="23"/>
      <c r="C896" s="40"/>
      <c r="D896" s="40"/>
      <c r="E896" s="41"/>
      <c r="F896" s="41"/>
      <c r="G896" s="41"/>
      <c r="H896" s="42"/>
      <c r="I896" s="42"/>
      <c r="J896" s="42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2"/>
      <c r="X896" s="42"/>
      <c r="Y896" s="42"/>
      <c r="Z896" s="42"/>
      <c r="AA896" s="42"/>
      <c r="AB896" s="42"/>
      <c r="AC896" s="36"/>
      <c r="AD896" s="36"/>
      <c r="AE896" s="36"/>
      <c r="AF896" s="42"/>
      <c r="AG896" s="36"/>
    </row>
    <row r="897" spans="2:33" s="44" customFormat="1" x14ac:dyDescent="0.3">
      <c r="B897" s="23"/>
      <c r="C897" s="40"/>
      <c r="D897" s="40"/>
      <c r="E897" s="41"/>
      <c r="F897" s="41"/>
      <c r="G897" s="41"/>
      <c r="H897" s="42"/>
      <c r="I897" s="42"/>
      <c r="J897" s="42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2"/>
      <c r="X897" s="42"/>
      <c r="Y897" s="42"/>
      <c r="Z897" s="42"/>
      <c r="AA897" s="42"/>
      <c r="AB897" s="42"/>
      <c r="AC897" s="36"/>
      <c r="AD897" s="36"/>
      <c r="AE897" s="36"/>
      <c r="AF897" s="42"/>
      <c r="AG897" s="36"/>
    </row>
    <row r="898" spans="2:33" s="44" customFormat="1" x14ac:dyDescent="0.3">
      <c r="B898" s="23"/>
      <c r="C898" s="40"/>
      <c r="D898" s="40"/>
      <c r="E898" s="41"/>
      <c r="F898" s="41"/>
      <c r="G898" s="41"/>
      <c r="H898" s="42"/>
      <c r="I898" s="42"/>
      <c r="J898" s="42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2"/>
      <c r="X898" s="42"/>
      <c r="Y898" s="42"/>
      <c r="Z898" s="42"/>
      <c r="AA898" s="42"/>
      <c r="AB898" s="42"/>
      <c r="AC898" s="36"/>
      <c r="AD898" s="36"/>
      <c r="AE898" s="36"/>
      <c r="AF898" s="42"/>
      <c r="AG898" s="36"/>
    </row>
    <row r="899" spans="2:33" s="44" customFormat="1" x14ac:dyDescent="0.3">
      <c r="B899" s="23"/>
      <c r="C899" s="40"/>
      <c r="D899" s="40"/>
      <c r="E899" s="41"/>
      <c r="F899" s="41"/>
      <c r="G899" s="41"/>
      <c r="H899" s="42"/>
      <c r="I899" s="42"/>
      <c r="J899" s="42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2"/>
      <c r="X899" s="42"/>
      <c r="Y899" s="42"/>
      <c r="Z899" s="42"/>
      <c r="AA899" s="42"/>
      <c r="AB899" s="42"/>
      <c r="AC899" s="36"/>
      <c r="AD899" s="36"/>
      <c r="AE899" s="36"/>
      <c r="AF899" s="42"/>
      <c r="AG899" s="36"/>
    </row>
    <row r="900" spans="2:33" s="44" customFormat="1" x14ac:dyDescent="0.3">
      <c r="B900" s="23"/>
      <c r="C900" s="40"/>
      <c r="D900" s="40"/>
      <c r="E900" s="41"/>
      <c r="F900" s="41"/>
      <c r="G900" s="41"/>
      <c r="H900" s="42"/>
      <c r="I900" s="42"/>
      <c r="J900" s="42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2"/>
      <c r="X900" s="42"/>
      <c r="Y900" s="42"/>
      <c r="Z900" s="42"/>
      <c r="AA900" s="42"/>
      <c r="AB900" s="42"/>
      <c r="AC900" s="36"/>
      <c r="AD900" s="36"/>
      <c r="AE900" s="36"/>
      <c r="AF900" s="42"/>
      <c r="AG900" s="36"/>
    </row>
    <row r="901" spans="2:33" s="44" customFormat="1" x14ac:dyDescent="0.3">
      <c r="B901" s="23"/>
      <c r="C901" s="40"/>
      <c r="D901" s="40"/>
      <c r="E901" s="41"/>
      <c r="F901" s="41"/>
      <c r="G901" s="41"/>
      <c r="H901" s="42"/>
      <c r="I901" s="42"/>
      <c r="J901" s="42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2"/>
      <c r="X901" s="42"/>
      <c r="Y901" s="42"/>
      <c r="Z901" s="42"/>
      <c r="AA901" s="42"/>
      <c r="AB901" s="42"/>
      <c r="AC901" s="36"/>
      <c r="AD901" s="36"/>
      <c r="AE901" s="36"/>
      <c r="AF901" s="42"/>
      <c r="AG901" s="36"/>
    </row>
    <row r="902" spans="2:33" s="44" customFormat="1" x14ac:dyDescent="0.3">
      <c r="B902" s="23"/>
      <c r="C902" s="40"/>
      <c r="D902" s="40"/>
      <c r="E902" s="41"/>
      <c r="F902" s="41"/>
      <c r="G902" s="41"/>
      <c r="H902" s="42"/>
      <c r="I902" s="42"/>
      <c r="J902" s="42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2"/>
      <c r="X902" s="42"/>
      <c r="Y902" s="42"/>
      <c r="Z902" s="42"/>
      <c r="AA902" s="42"/>
      <c r="AB902" s="42"/>
      <c r="AC902" s="36"/>
      <c r="AD902" s="36"/>
      <c r="AE902" s="36"/>
      <c r="AF902" s="42"/>
      <c r="AG902" s="36"/>
    </row>
    <row r="903" spans="2:33" s="44" customFormat="1" x14ac:dyDescent="0.3">
      <c r="B903" s="23"/>
      <c r="C903" s="40"/>
      <c r="D903" s="40"/>
      <c r="E903" s="41"/>
      <c r="F903" s="41"/>
      <c r="G903" s="41"/>
      <c r="H903" s="42"/>
      <c r="I903" s="42"/>
      <c r="J903" s="42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2"/>
      <c r="X903" s="42"/>
      <c r="Y903" s="42"/>
      <c r="Z903" s="42"/>
      <c r="AA903" s="42"/>
      <c r="AB903" s="42"/>
      <c r="AC903" s="36"/>
      <c r="AD903" s="36"/>
      <c r="AE903" s="36"/>
      <c r="AF903" s="42"/>
      <c r="AG903" s="36"/>
    </row>
    <row r="904" spans="2:33" s="44" customFormat="1" x14ac:dyDescent="0.3">
      <c r="B904" s="23"/>
      <c r="C904" s="40"/>
      <c r="D904" s="40"/>
      <c r="E904" s="41"/>
      <c r="F904" s="41"/>
      <c r="G904" s="41"/>
      <c r="H904" s="42"/>
      <c r="I904" s="42"/>
      <c r="J904" s="42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2"/>
      <c r="X904" s="42"/>
      <c r="Y904" s="42"/>
      <c r="Z904" s="42"/>
      <c r="AA904" s="42"/>
      <c r="AB904" s="42"/>
      <c r="AC904" s="36"/>
      <c r="AD904" s="36"/>
      <c r="AE904" s="36"/>
      <c r="AF904" s="42"/>
      <c r="AG904" s="36"/>
    </row>
    <row r="905" spans="2:33" s="44" customFormat="1" x14ac:dyDescent="0.3">
      <c r="B905" s="23"/>
      <c r="C905" s="40"/>
      <c r="D905" s="40"/>
      <c r="E905" s="41"/>
      <c r="F905" s="41"/>
      <c r="G905" s="41"/>
      <c r="H905" s="42"/>
      <c r="I905" s="42"/>
      <c r="J905" s="42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2"/>
      <c r="X905" s="42"/>
      <c r="Y905" s="42"/>
      <c r="Z905" s="42"/>
      <c r="AA905" s="42"/>
      <c r="AB905" s="42"/>
      <c r="AC905" s="36"/>
      <c r="AD905" s="36"/>
      <c r="AE905" s="36"/>
      <c r="AF905" s="42"/>
      <c r="AG905" s="36"/>
    </row>
    <row r="906" spans="2:33" s="44" customFormat="1" x14ac:dyDescent="0.3">
      <c r="B906" s="23"/>
      <c r="C906" s="40"/>
      <c r="D906" s="40"/>
      <c r="E906" s="41"/>
      <c r="F906" s="41"/>
      <c r="G906" s="41"/>
      <c r="H906" s="42"/>
      <c r="I906" s="42"/>
      <c r="J906" s="42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2"/>
      <c r="X906" s="42"/>
      <c r="Y906" s="42"/>
      <c r="Z906" s="42"/>
      <c r="AA906" s="42"/>
      <c r="AB906" s="42"/>
      <c r="AC906" s="36"/>
      <c r="AD906" s="36"/>
      <c r="AE906" s="36"/>
      <c r="AF906" s="42"/>
      <c r="AG906" s="36"/>
    </row>
    <row r="907" spans="2:33" s="44" customFormat="1" x14ac:dyDescent="0.3">
      <c r="B907" s="23"/>
      <c r="C907" s="40"/>
      <c r="D907" s="40"/>
      <c r="E907" s="41"/>
      <c r="F907" s="41"/>
      <c r="G907" s="41"/>
      <c r="H907" s="42"/>
      <c r="I907" s="42"/>
      <c r="J907" s="42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2"/>
      <c r="X907" s="42"/>
      <c r="Y907" s="42"/>
      <c r="Z907" s="42"/>
      <c r="AA907" s="42"/>
      <c r="AB907" s="42"/>
      <c r="AC907" s="36"/>
      <c r="AD907" s="36"/>
      <c r="AE907" s="36"/>
      <c r="AF907" s="42"/>
      <c r="AG907" s="36"/>
    </row>
    <row r="908" spans="2:33" s="44" customFormat="1" x14ac:dyDescent="0.3">
      <c r="B908" s="23"/>
      <c r="C908" s="40"/>
      <c r="D908" s="40"/>
      <c r="E908" s="41"/>
      <c r="F908" s="41"/>
      <c r="G908" s="41"/>
      <c r="H908" s="42"/>
      <c r="I908" s="42"/>
      <c r="J908" s="42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2"/>
      <c r="X908" s="42"/>
      <c r="Y908" s="42"/>
      <c r="Z908" s="42"/>
      <c r="AA908" s="42"/>
      <c r="AB908" s="42"/>
      <c r="AC908" s="36"/>
      <c r="AD908" s="36"/>
      <c r="AE908" s="36"/>
      <c r="AF908" s="42"/>
      <c r="AG908" s="36"/>
    </row>
    <row r="909" spans="2:33" s="44" customFormat="1" x14ac:dyDescent="0.3">
      <c r="B909" s="23"/>
      <c r="C909" s="40"/>
      <c r="D909" s="40"/>
      <c r="E909" s="41"/>
      <c r="F909" s="41"/>
      <c r="G909" s="41"/>
      <c r="H909" s="42"/>
      <c r="I909" s="42"/>
      <c r="J909" s="42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2"/>
      <c r="X909" s="42"/>
      <c r="Y909" s="42"/>
      <c r="Z909" s="42"/>
      <c r="AA909" s="42"/>
      <c r="AB909" s="42"/>
      <c r="AC909" s="36"/>
      <c r="AD909" s="36"/>
      <c r="AE909" s="36"/>
      <c r="AF909" s="42"/>
      <c r="AG909" s="36"/>
    </row>
    <row r="910" spans="2:33" s="44" customFormat="1" x14ac:dyDescent="0.3">
      <c r="B910" s="23"/>
      <c r="C910" s="40"/>
      <c r="D910" s="40"/>
      <c r="E910" s="41"/>
      <c r="F910" s="41"/>
      <c r="G910" s="41"/>
      <c r="H910" s="42"/>
      <c r="I910" s="42"/>
      <c r="J910" s="42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2"/>
      <c r="X910" s="42"/>
      <c r="Y910" s="42"/>
      <c r="Z910" s="42"/>
      <c r="AA910" s="42"/>
      <c r="AB910" s="42"/>
      <c r="AC910" s="36"/>
      <c r="AD910" s="36"/>
      <c r="AE910" s="36"/>
      <c r="AF910" s="42"/>
      <c r="AG910" s="36"/>
    </row>
    <row r="911" spans="2:33" s="44" customFormat="1" x14ac:dyDescent="0.3">
      <c r="B911" s="23"/>
      <c r="C911" s="40"/>
      <c r="D911" s="40"/>
      <c r="E911" s="41"/>
      <c r="F911" s="41"/>
      <c r="G911" s="41"/>
      <c r="H911" s="42"/>
      <c r="I911" s="42"/>
      <c r="J911" s="42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2"/>
      <c r="X911" s="42"/>
      <c r="Y911" s="42"/>
      <c r="Z911" s="42"/>
      <c r="AA911" s="42"/>
      <c r="AB911" s="42"/>
      <c r="AC911" s="36"/>
      <c r="AD911" s="36"/>
      <c r="AE911" s="36"/>
      <c r="AF911" s="42"/>
      <c r="AG911" s="36"/>
    </row>
    <row r="912" spans="2:33" s="44" customFormat="1" x14ac:dyDescent="0.3">
      <c r="B912" s="23"/>
      <c r="C912" s="40"/>
      <c r="D912" s="40"/>
      <c r="E912" s="41"/>
      <c r="F912" s="41"/>
      <c r="G912" s="41"/>
      <c r="H912" s="42"/>
      <c r="I912" s="42"/>
      <c r="J912" s="42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2"/>
      <c r="X912" s="42"/>
      <c r="Y912" s="42"/>
      <c r="Z912" s="42"/>
      <c r="AA912" s="42"/>
      <c r="AB912" s="42"/>
      <c r="AC912" s="36"/>
      <c r="AD912" s="36"/>
      <c r="AE912" s="36"/>
      <c r="AF912" s="42"/>
      <c r="AG912" s="36"/>
    </row>
    <row r="913" spans="2:33" s="44" customFormat="1" x14ac:dyDescent="0.3">
      <c r="B913" s="23"/>
      <c r="C913" s="40"/>
      <c r="D913" s="40"/>
      <c r="E913" s="41"/>
      <c r="F913" s="41"/>
      <c r="G913" s="41"/>
      <c r="H913" s="42"/>
      <c r="I913" s="42"/>
      <c r="J913" s="42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2"/>
      <c r="X913" s="42"/>
      <c r="Y913" s="42"/>
      <c r="Z913" s="42"/>
      <c r="AA913" s="42"/>
      <c r="AB913" s="42"/>
      <c r="AC913" s="36"/>
      <c r="AD913" s="36"/>
      <c r="AE913" s="36"/>
      <c r="AF913" s="42"/>
      <c r="AG913" s="36"/>
    </row>
    <row r="914" spans="2:33" s="44" customFormat="1" x14ac:dyDescent="0.3">
      <c r="B914" s="23"/>
      <c r="C914" s="40"/>
      <c r="D914" s="40"/>
      <c r="E914" s="41"/>
      <c r="F914" s="41"/>
      <c r="G914" s="41"/>
      <c r="H914" s="42"/>
      <c r="I914" s="42"/>
      <c r="J914" s="42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2"/>
      <c r="X914" s="42"/>
      <c r="Y914" s="42"/>
      <c r="Z914" s="42"/>
      <c r="AA914" s="42"/>
      <c r="AB914" s="42"/>
      <c r="AC914" s="36"/>
      <c r="AD914" s="36"/>
      <c r="AE914" s="36"/>
      <c r="AF914" s="42"/>
      <c r="AG914" s="36"/>
    </row>
    <row r="915" spans="2:33" s="44" customFormat="1" x14ac:dyDescent="0.3">
      <c r="B915" s="23"/>
      <c r="C915" s="40"/>
      <c r="D915" s="40"/>
      <c r="E915" s="41"/>
      <c r="F915" s="41"/>
      <c r="G915" s="41"/>
      <c r="H915" s="42"/>
      <c r="I915" s="42"/>
      <c r="J915" s="42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2"/>
      <c r="X915" s="42"/>
      <c r="Y915" s="42"/>
      <c r="Z915" s="42"/>
      <c r="AA915" s="42"/>
      <c r="AB915" s="42"/>
      <c r="AC915" s="36"/>
      <c r="AD915" s="36"/>
      <c r="AE915" s="36"/>
      <c r="AF915" s="42"/>
      <c r="AG915" s="36"/>
    </row>
    <row r="916" spans="2:33" s="44" customFormat="1" x14ac:dyDescent="0.3">
      <c r="B916" s="23"/>
      <c r="C916" s="40"/>
      <c r="D916" s="40"/>
      <c r="E916" s="41"/>
      <c r="F916" s="41"/>
      <c r="G916" s="41"/>
      <c r="H916" s="42"/>
      <c r="I916" s="42"/>
      <c r="J916" s="42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2"/>
      <c r="X916" s="42"/>
      <c r="Y916" s="42"/>
      <c r="Z916" s="42"/>
      <c r="AA916" s="42"/>
      <c r="AB916" s="42"/>
      <c r="AC916" s="36"/>
      <c r="AD916" s="36"/>
      <c r="AE916" s="36"/>
      <c r="AF916" s="42"/>
      <c r="AG916" s="36"/>
    </row>
    <row r="917" spans="2:33" s="44" customFormat="1" x14ac:dyDescent="0.3">
      <c r="B917" s="23"/>
      <c r="C917" s="40"/>
      <c r="D917" s="40"/>
      <c r="E917" s="41"/>
      <c r="F917" s="41"/>
      <c r="G917" s="41"/>
      <c r="H917" s="42"/>
      <c r="I917" s="42"/>
      <c r="J917" s="42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2"/>
      <c r="X917" s="42"/>
      <c r="Y917" s="42"/>
      <c r="Z917" s="42"/>
      <c r="AA917" s="42"/>
      <c r="AB917" s="42"/>
      <c r="AC917" s="36"/>
      <c r="AD917" s="36"/>
      <c r="AE917" s="36"/>
      <c r="AF917" s="42"/>
      <c r="AG917" s="36"/>
    </row>
    <row r="918" spans="2:33" s="44" customFormat="1" x14ac:dyDescent="0.3">
      <c r="B918" s="23"/>
      <c r="C918" s="40"/>
      <c r="D918" s="40"/>
      <c r="E918" s="41"/>
      <c r="F918" s="41"/>
      <c r="G918" s="41"/>
      <c r="H918" s="42"/>
      <c r="I918" s="42"/>
      <c r="J918" s="42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2"/>
      <c r="X918" s="42"/>
      <c r="Y918" s="42"/>
      <c r="Z918" s="42"/>
      <c r="AA918" s="42"/>
      <c r="AB918" s="42"/>
      <c r="AC918" s="36"/>
      <c r="AD918" s="36"/>
      <c r="AE918" s="36"/>
      <c r="AF918" s="42"/>
      <c r="AG918" s="36"/>
    </row>
    <row r="919" spans="2:33" s="44" customFormat="1" x14ac:dyDescent="0.3">
      <c r="B919" s="23"/>
      <c r="C919" s="40"/>
      <c r="D919" s="40"/>
      <c r="E919" s="41"/>
      <c r="F919" s="41"/>
      <c r="G919" s="41"/>
      <c r="H919" s="42"/>
      <c r="I919" s="42"/>
      <c r="J919" s="42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2"/>
      <c r="X919" s="42"/>
      <c r="Y919" s="42"/>
      <c r="Z919" s="42"/>
      <c r="AA919" s="42"/>
      <c r="AB919" s="42"/>
      <c r="AC919" s="36"/>
      <c r="AD919" s="36"/>
      <c r="AE919" s="36"/>
      <c r="AF919" s="42"/>
      <c r="AG919" s="36"/>
    </row>
    <row r="920" spans="2:33" s="44" customFormat="1" x14ac:dyDescent="0.3">
      <c r="B920" s="23"/>
      <c r="C920" s="40"/>
      <c r="D920" s="40"/>
      <c r="E920" s="41"/>
      <c r="F920" s="41"/>
      <c r="G920" s="41"/>
      <c r="H920" s="42"/>
      <c r="I920" s="42"/>
      <c r="J920" s="42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2"/>
      <c r="X920" s="42"/>
      <c r="Y920" s="42"/>
      <c r="Z920" s="42"/>
      <c r="AA920" s="42"/>
      <c r="AB920" s="42"/>
      <c r="AC920" s="36"/>
      <c r="AD920" s="36"/>
      <c r="AE920" s="36"/>
      <c r="AF920" s="42"/>
      <c r="AG920" s="36"/>
    </row>
    <row r="921" spans="2:33" s="44" customFormat="1" x14ac:dyDescent="0.3">
      <c r="B921" s="23"/>
      <c r="C921" s="40"/>
      <c r="D921" s="40"/>
      <c r="E921" s="41"/>
      <c r="F921" s="41"/>
      <c r="G921" s="41"/>
      <c r="H921" s="42"/>
      <c r="I921" s="42"/>
      <c r="J921" s="42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2"/>
      <c r="X921" s="42"/>
      <c r="Y921" s="42"/>
      <c r="Z921" s="42"/>
      <c r="AA921" s="42"/>
      <c r="AB921" s="42"/>
      <c r="AC921" s="36"/>
      <c r="AD921" s="36"/>
      <c r="AE921" s="36"/>
      <c r="AF921" s="42"/>
      <c r="AG921" s="36"/>
    </row>
    <row r="922" spans="2:33" s="44" customFormat="1" x14ac:dyDescent="0.3">
      <c r="B922" s="23"/>
      <c r="C922" s="40"/>
      <c r="D922" s="40"/>
      <c r="E922" s="41"/>
      <c r="F922" s="41"/>
      <c r="G922" s="41"/>
      <c r="H922" s="42"/>
      <c r="I922" s="42"/>
      <c r="J922" s="42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2"/>
      <c r="X922" s="42"/>
      <c r="Y922" s="42"/>
      <c r="Z922" s="42"/>
      <c r="AA922" s="42"/>
      <c r="AB922" s="42"/>
      <c r="AC922" s="36"/>
      <c r="AD922" s="36"/>
      <c r="AE922" s="36"/>
      <c r="AF922" s="42"/>
      <c r="AG922" s="36"/>
    </row>
    <row r="923" spans="2:33" s="44" customFormat="1" x14ac:dyDescent="0.3">
      <c r="B923" s="23"/>
      <c r="C923" s="40"/>
      <c r="D923" s="40"/>
      <c r="E923" s="41"/>
      <c r="F923" s="41"/>
      <c r="G923" s="41"/>
      <c r="H923" s="42"/>
      <c r="I923" s="42"/>
      <c r="J923" s="42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2"/>
      <c r="X923" s="42"/>
      <c r="Y923" s="42"/>
      <c r="Z923" s="42"/>
      <c r="AA923" s="42"/>
      <c r="AB923" s="42"/>
      <c r="AC923" s="36"/>
      <c r="AD923" s="36"/>
      <c r="AE923" s="36"/>
      <c r="AF923" s="42"/>
      <c r="AG923" s="36"/>
    </row>
    <row r="924" spans="2:33" s="44" customFormat="1" x14ac:dyDescent="0.3">
      <c r="B924" s="23"/>
      <c r="C924" s="40"/>
      <c r="D924" s="40"/>
      <c r="E924" s="41"/>
      <c r="F924" s="41"/>
      <c r="G924" s="41"/>
      <c r="H924" s="42"/>
      <c r="I924" s="42"/>
      <c r="J924" s="42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2"/>
      <c r="X924" s="42"/>
      <c r="Y924" s="42"/>
      <c r="Z924" s="42"/>
      <c r="AA924" s="42"/>
      <c r="AB924" s="42"/>
      <c r="AC924" s="36"/>
      <c r="AD924" s="36"/>
      <c r="AE924" s="36"/>
      <c r="AF924" s="42"/>
      <c r="AG924" s="36"/>
    </row>
    <row r="925" spans="2:33" s="44" customFormat="1" x14ac:dyDescent="0.3">
      <c r="B925" s="23"/>
      <c r="C925" s="40"/>
      <c r="D925" s="40"/>
      <c r="E925" s="41"/>
      <c r="F925" s="41"/>
      <c r="G925" s="41"/>
      <c r="H925" s="42"/>
      <c r="I925" s="42"/>
      <c r="J925" s="42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2"/>
      <c r="X925" s="42"/>
      <c r="Y925" s="42"/>
      <c r="Z925" s="42"/>
      <c r="AA925" s="42"/>
      <c r="AB925" s="42"/>
      <c r="AC925" s="36"/>
      <c r="AD925" s="36"/>
      <c r="AE925" s="36"/>
      <c r="AF925" s="42"/>
      <c r="AG925" s="36"/>
    </row>
    <row r="926" spans="2:33" s="44" customFormat="1" x14ac:dyDescent="0.3">
      <c r="B926" s="23"/>
      <c r="C926" s="40"/>
      <c r="D926" s="40"/>
      <c r="E926" s="41"/>
      <c r="F926" s="41"/>
      <c r="G926" s="41"/>
      <c r="H926" s="42"/>
      <c r="I926" s="42"/>
      <c r="J926" s="42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2"/>
      <c r="X926" s="42"/>
      <c r="Y926" s="42"/>
      <c r="Z926" s="42"/>
      <c r="AA926" s="42"/>
      <c r="AB926" s="42"/>
      <c r="AC926" s="36"/>
      <c r="AD926" s="36"/>
      <c r="AE926" s="36"/>
      <c r="AF926" s="42"/>
      <c r="AG926" s="36"/>
    </row>
    <row r="927" spans="2:33" s="44" customFormat="1" x14ac:dyDescent="0.3">
      <c r="B927" s="23"/>
      <c r="C927" s="40"/>
      <c r="D927" s="40"/>
      <c r="E927" s="41"/>
      <c r="F927" s="41"/>
      <c r="G927" s="41"/>
      <c r="H927" s="42"/>
      <c r="I927" s="42"/>
      <c r="J927" s="42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2"/>
      <c r="X927" s="42"/>
      <c r="Y927" s="42"/>
      <c r="Z927" s="42"/>
      <c r="AA927" s="42"/>
      <c r="AB927" s="42"/>
      <c r="AC927" s="36"/>
      <c r="AD927" s="36"/>
      <c r="AE927" s="36"/>
      <c r="AF927" s="42"/>
      <c r="AG927" s="36"/>
    </row>
    <row r="928" spans="2:33" s="44" customFormat="1" x14ac:dyDescent="0.3">
      <c r="B928" s="23"/>
      <c r="C928" s="40"/>
      <c r="D928" s="40"/>
      <c r="E928" s="41"/>
      <c r="F928" s="41"/>
      <c r="G928" s="41"/>
      <c r="H928" s="42"/>
      <c r="I928" s="42"/>
      <c r="J928" s="42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2"/>
      <c r="X928" s="42"/>
      <c r="Y928" s="42"/>
      <c r="Z928" s="42"/>
      <c r="AA928" s="42"/>
      <c r="AB928" s="42"/>
      <c r="AC928" s="36"/>
      <c r="AD928" s="36"/>
      <c r="AE928" s="36"/>
      <c r="AF928" s="42"/>
      <c r="AG928" s="36"/>
    </row>
    <row r="929" spans="2:33" s="44" customFormat="1" x14ac:dyDescent="0.3">
      <c r="B929" s="23"/>
      <c r="C929" s="40"/>
      <c r="D929" s="40"/>
      <c r="E929" s="41"/>
      <c r="F929" s="41"/>
      <c r="G929" s="41"/>
      <c r="H929" s="42"/>
      <c r="I929" s="42"/>
      <c r="J929" s="42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2"/>
      <c r="X929" s="42"/>
      <c r="Y929" s="42"/>
      <c r="Z929" s="42"/>
      <c r="AA929" s="42"/>
      <c r="AB929" s="42"/>
      <c r="AC929" s="36"/>
      <c r="AD929" s="36"/>
      <c r="AE929" s="36"/>
      <c r="AF929" s="42"/>
      <c r="AG929" s="36"/>
    </row>
    <row r="930" spans="2:33" s="44" customFormat="1" x14ac:dyDescent="0.3">
      <c r="B930" s="23"/>
      <c r="C930" s="40"/>
      <c r="D930" s="40"/>
      <c r="E930" s="41"/>
      <c r="F930" s="41"/>
      <c r="G930" s="41"/>
      <c r="H930" s="42"/>
      <c r="I930" s="42"/>
      <c r="J930" s="42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2"/>
      <c r="X930" s="42"/>
      <c r="Y930" s="42"/>
      <c r="Z930" s="42"/>
      <c r="AA930" s="42"/>
      <c r="AB930" s="42"/>
      <c r="AC930" s="36"/>
      <c r="AD930" s="36"/>
      <c r="AE930" s="36"/>
      <c r="AF930" s="42"/>
      <c r="AG930" s="36"/>
    </row>
    <row r="931" spans="2:33" s="44" customFormat="1" x14ac:dyDescent="0.3">
      <c r="B931" s="23"/>
      <c r="C931" s="40"/>
      <c r="D931" s="40"/>
      <c r="E931" s="41"/>
      <c r="F931" s="41"/>
      <c r="G931" s="41"/>
      <c r="H931" s="42"/>
      <c r="I931" s="42"/>
      <c r="J931" s="42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2"/>
      <c r="X931" s="42"/>
      <c r="Y931" s="42"/>
      <c r="Z931" s="42"/>
      <c r="AA931" s="42"/>
      <c r="AB931" s="42"/>
      <c r="AC931" s="36"/>
      <c r="AD931" s="36"/>
      <c r="AE931" s="36"/>
      <c r="AF931" s="42"/>
      <c r="AG931" s="36"/>
    </row>
    <row r="932" spans="2:33" s="44" customFormat="1" x14ac:dyDescent="0.3">
      <c r="B932" s="23"/>
      <c r="C932" s="40"/>
      <c r="D932" s="40"/>
      <c r="E932" s="41"/>
      <c r="F932" s="41"/>
      <c r="G932" s="41"/>
      <c r="H932" s="42"/>
      <c r="I932" s="42"/>
      <c r="J932" s="42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2"/>
      <c r="X932" s="42"/>
      <c r="Y932" s="42"/>
      <c r="Z932" s="42"/>
      <c r="AA932" s="42"/>
      <c r="AB932" s="42"/>
      <c r="AC932" s="36"/>
      <c r="AD932" s="36"/>
      <c r="AE932" s="36"/>
      <c r="AF932" s="42"/>
      <c r="AG932" s="36"/>
    </row>
    <row r="933" spans="2:33" s="44" customFormat="1" x14ac:dyDescent="0.3">
      <c r="B933" s="23"/>
      <c r="C933" s="40"/>
      <c r="D933" s="40"/>
      <c r="E933" s="41"/>
      <c r="F933" s="41"/>
      <c r="G933" s="41"/>
      <c r="H933" s="42"/>
      <c r="I933" s="42"/>
      <c r="J933" s="42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2"/>
      <c r="X933" s="42"/>
      <c r="Y933" s="42"/>
      <c r="Z933" s="42"/>
      <c r="AA933" s="42"/>
      <c r="AB933" s="42"/>
      <c r="AC933" s="36"/>
      <c r="AD933" s="36"/>
      <c r="AE933" s="36"/>
      <c r="AF933" s="42"/>
      <c r="AG933" s="36"/>
    </row>
    <row r="934" spans="2:33" s="44" customFormat="1" x14ac:dyDescent="0.3">
      <c r="B934" s="23"/>
      <c r="C934" s="40"/>
      <c r="D934" s="40"/>
      <c r="E934" s="41"/>
      <c r="F934" s="41"/>
      <c r="G934" s="41"/>
      <c r="H934" s="42"/>
      <c r="I934" s="42"/>
      <c r="J934" s="42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2"/>
      <c r="X934" s="42"/>
      <c r="Y934" s="42"/>
      <c r="Z934" s="42"/>
      <c r="AA934" s="42"/>
      <c r="AB934" s="42"/>
      <c r="AC934" s="36"/>
      <c r="AD934" s="36"/>
      <c r="AE934" s="36"/>
      <c r="AF934" s="42"/>
      <c r="AG934" s="36"/>
    </row>
    <row r="935" spans="2:33" s="44" customFormat="1" x14ac:dyDescent="0.3">
      <c r="B935" s="23"/>
      <c r="C935" s="40"/>
      <c r="D935" s="40"/>
      <c r="E935" s="41"/>
      <c r="F935" s="41"/>
      <c r="G935" s="41"/>
      <c r="H935" s="42"/>
      <c r="I935" s="42"/>
      <c r="J935" s="42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2"/>
      <c r="X935" s="42"/>
      <c r="Y935" s="42"/>
      <c r="Z935" s="42"/>
      <c r="AA935" s="42"/>
      <c r="AB935" s="42"/>
      <c r="AC935" s="36"/>
      <c r="AD935" s="36"/>
      <c r="AE935" s="36"/>
      <c r="AF935" s="42"/>
      <c r="AG935" s="36"/>
    </row>
    <row r="936" spans="2:33" s="44" customFormat="1" x14ac:dyDescent="0.3">
      <c r="B936" s="23"/>
      <c r="C936" s="40"/>
      <c r="D936" s="40"/>
      <c r="E936" s="41"/>
      <c r="F936" s="41"/>
      <c r="G936" s="41"/>
      <c r="H936" s="42"/>
      <c r="I936" s="42"/>
      <c r="J936" s="42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2"/>
      <c r="X936" s="42"/>
      <c r="Y936" s="42"/>
      <c r="Z936" s="42"/>
      <c r="AA936" s="42"/>
      <c r="AB936" s="42"/>
      <c r="AC936" s="36"/>
      <c r="AD936" s="36"/>
      <c r="AE936" s="36"/>
      <c r="AF936" s="42"/>
      <c r="AG936" s="36"/>
    </row>
    <row r="937" spans="2:33" s="44" customFormat="1" x14ac:dyDescent="0.3">
      <c r="B937" s="23"/>
      <c r="C937" s="40"/>
      <c r="D937" s="40"/>
      <c r="E937" s="41"/>
      <c r="F937" s="41"/>
      <c r="G937" s="41"/>
      <c r="H937" s="42"/>
      <c r="I937" s="42"/>
      <c r="J937" s="42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2"/>
      <c r="X937" s="42"/>
      <c r="Y937" s="42"/>
      <c r="Z937" s="42"/>
      <c r="AA937" s="42"/>
      <c r="AB937" s="42"/>
      <c r="AC937" s="36"/>
      <c r="AD937" s="36"/>
      <c r="AE937" s="36"/>
      <c r="AF937" s="42"/>
      <c r="AG937" s="36"/>
    </row>
    <row r="938" spans="2:33" s="44" customFormat="1" x14ac:dyDescent="0.3">
      <c r="B938" s="23"/>
      <c r="C938" s="40"/>
      <c r="D938" s="40"/>
      <c r="E938" s="41"/>
      <c r="F938" s="41"/>
      <c r="G938" s="41"/>
      <c r="H938" s="42"/>
      <c r="I938" s="42"/>
      <c r="J938" s="42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2"/>
      <c r="X938" s="42"/>
      <c r="Y938" s="42"/>
      <c r="Z938" s="42"/>
      <c r="AA938" s="42"/>
      <c r="AB938" s="42"/>
      <c r="AC938" s="36"/>
      <c r="AD938" s="36"/>
      <c r="AE938" s="36"/>
      <c r="AF938" s="42"/>
      <c r="AG938" s="36"/>
    </row>
    <row r="939" spans="2:33" s="44" customFormat="1" x14ac:dyDescent="0.3">
      <c r="B939" s="23"/>
      <c r="C939" s="40"/>
      <c r="D939" s="40"/>
      <c r="E939" s="41"/>
      <c r="F939" s="41"/>
      <c r="G939" s="41"/>
      <c r="H939" s="42"/>
      <c r="I939" s="42"/>
      <c r="J939" s="42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2"/>
      <c r="X939" s="42"/>
      <c r="Y939" s="42"/>
      <c r="Z939" s="42"/>
      <c r="AA939" s="42"/>
      <c r="AB939" s="42"/>
      <c r="AC939" s="36"/>
      <c r="AD939" s="36"/>
      <c r="AE939" s="36"/>
      <c r="AF939" s="42"/>
      <c r="AG939" s="36"/>
    </row>
    <row r="940" spans="2:33" s="44" customFormat="1" x14ac:dyDescent="0.3">
      <c r="B940" s="23"/>
      <c r="C940" s="40"/>
      <c r="D940" s="40"/>
      <c r="E940" s="41"/>
      <c r="F940" s="41"/>
      <c r="G940" s="41"/>
      <c r="H940" s="42"/>
      <c r="I940" s="42"/>
      <c r="J940" s="42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2"/>
      <c r="X940" s="42"/>
      <c r="Y940" s="42"/>
      <c r="Z940" s="42"/>
      <c r="AA940" s="42"/>
      <c r="AB940" s="42"/>
      <c r="AC940" s="36"/>
      <c r="AD940" s="36"/>
      <c r="AE940" s="36"/>
      <c r="AF940" s="42"/>
      <c r="AG940" s="36"/>
    </row>
    <row r="941" spans="2:33" s="44" customFormat="1" x14ac:dyDescent="0.3">
      <c r="B941" s="23"/>
      <c r="C941" s="40"/>
      <c r="D941" s="40"/>
      <c r="E941" s="41"/>
      <c r="F941" s="41"/>
      <c r="G941" s="41"/>
      <c r="H941" s="42"/>
      <c r="I941" s="42"/>
      <c r="J941" s="42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2"/>
      <c r="X941" s="42"/>
      <c r="Y941" s="42"/>
      <c r="Z941" s="42"/>
      <c r="AA941" s="42"/>
      <c r="AB941" s="42"/>
      <c r="AC941" s="36"/>
      <c r="AD941" s="36"/>
      <c r="AE941" s="36"/>
      <c r="AF941" s="42"/>
      <c r="AG941" s="36"/>
    </row>
    <row r="942" spans="2:33" s="44" customFormat="1" x14ac:dyDescent="0.3">
      <c r="B942" s="23"/>
      <c r="C942" s="40"/>
      <c r="D942" s="40"/>
      <c r="E942" s="41"/>
      <c r="F942" s="41"/>
      <c r="G942" s="41"/>
      <c r="H942" s="42"/>
      <c r="I942" s="42"/>
      <c r="J942" s="42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2"/>
      <c r="X942" s="42"/>
      <c r="Y942" s="42"/>
      <c r="Z942" s="42"/>
      <c r="AA942" s="42"/>
      <c r="AB942" s="42"/>
      <c r="AC942" s="36"/>
      <c r="AD942" s="36"/>
      <c r="AE942" s="36"/>
      <c r="AF942" s="42"/>
      <c r="AG942" s="36"/>
    </row>
    <row r="943" spans="2:33" s="44" customFormat="1" x14ac:dyDescent="0.3">
      <c r="B943" s="23"/>
      <c r="C943" s="40"/>
      <c r="D943" s="40"/>
      <c r="E943" s="41"/>
      <c r="F943" s="41"/>
      <c r="G943" s="41"/>
      <c r="H943" s="42"/>
      <c r="I943" s="42"/>
      <c r="J943" s="42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2"/>
      <c r="X943" s="42"/>
      <c r="Y943" s="42"/>
      <c r="Z943" s="42"/>
      <c r="AA943" s="42"/>
      <c r="AB943" s="42"/>
      <c r="AC943" s="36"/>
      <c r="AD943" s="36"/>
      <c r="AE943" s="36"/>
      <c r="AF943" s="42"/>
      <c r="AG943" s="36"/>
    </row>
    <row r="944" spans="2:33" s="44" customFormat="1" x14ac:dyDescent="0.3">
      <c r="B944" s="23"/>
      <c r="C944" s="40"/>
      <c r="D944" s="40"/>
      <c r="E944" s="41"/>
      <c r="F944" s="41"/>
      <c r="G944" s="41"/>
      <c r="H944" s="42"/>
      <c r="I944" s="42"/>
      <c r="J944" s="42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2"/>
      <c r="X944" s="42"/>
      <c r="Y944" s="42"/>
      <c r="Z944" s="42"/>
      <c r="AA944" s="42"/>
      <c r="AB944" s="42"/>
      <c r="AC944" s="36"/>
      <c r="AD944" s="36"/>
      <c r="AE944" s="36"/>
      <c r="AF944" s="42"/>
      <c r="AG944" s="36"/>
    </row>
    <row r="945" spans="2:33" s="44" customFormat="1" x14ac:dyDescent="0.3">
      <c r="B945" s="23"/>
      <c r="C945" s="40"/>
      <c r="D945" s="40"/>
      <c r="E945" s="41"/>
      <c r="F945" s="41"/>
      <c r="G945" s="41"/>
      <c r="H945" s="42"/>
      <c r="I945" s="42"/>
      <c r="J945" s="42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2"/>
      <c r="X945" s="42"/>
      <c r="Y945" s="42"/>
      <c r="Z945" s="42"/>
      <c r="AA945" s="42"/>
      <c r="AB945" s="42"/>
      <c r="AC945" s="36"/>
      <c r="AD945" s="36"/>
      <c r="AE945" s="36"/>
      <c r="AF945" s="42"/>
      <c r="AG945" s="36"/>
    </row>
    <row r="946" spans="2:33" s="44" customFormat="1" x14ac:dyDescent="0.3">
      <c r="B946" s="23"/>
      <c r="C946" s="40"/>
      <c r="D946" s="40"/>
      <c r="E946" s="41"/>
      <c r="F946" s="41"/>
      <c r="G946" s="41"/>
      <c r="H946" s="42"/>
      <c r="I946" s="42"/>
      <c r="J946" s="42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2"/>
      <c r="X946" s="42"/>
      <c r="Y946" s="42"/>
      <c r="Z946" s="42"/>
      <c r="AA946" s="42"/>
      <c r="AB946" s="42"/>
      <c r="AC946" s="36"/>
      <c r="AD946" s="36"/>
      <c r="AE946" s="36"/>
      <c r="AF946" s="42"/>
      <c r="AG946" s="36"/>
    </row>
    <row r="947" spans="2:33" s="44" customFormat="1" x14ac:dyDescent="0.3">
      <c r="B947" s="23"/>
      <c r="C947" s="40"/>
      <c r="D947" s="40"/>
      <c r="E947" s="41"/>
      <c r="F947" s="41"/>
      <c r="G947" s="41"/>
      <c r="H947" s="42"/>
      <c r="I947" s="42"/>
      <c r="J947" s="42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2"/>
      <c r="X947" s="42"/>
      <c r="Y947" s="42"/>
      <c r="Z947" s="42"/>
      <c r="AA947" s="42"/>
      <c r="AB947" s="42"/>
      <c r="AC947" s="36"/>
      <c r="AD947" s="36"/>
      <c r="AE947" s="36"/>
      <c r="AF947" s="42"/>
      <c r="AG947" s="36"/>
    </row>
    <row r="948" spans="2:33" s="44" customFormat="1" x14ac:dyDescent="0.3">
      <c r="B948" s="23"/>
      <c r="C948" s="40"/>
      <c r="D948" s="40"/>
      <c r="E948" s="41"/>
      <c r="F948" s="41"/>
      <c r="G948" s="41"/>
      <c r="H948" s="42"/>
      <c r="I948" s="42"/>
      <c r="J948" s="42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2"/>
      <c r="X948" s="42"/>
      <c r="Y948" s="42"/>
      <c r="Z948" s="42"/>
      <c r="AA948" s="42"/>
      <c r="AB948" s="42"/>
      <c r="AC948" s="36"/>
      <c r="AD948" s="36"/>
      <c r="AE948" s="36"/>
      <c r="AF948" s="42"/>
      <c r="AG948" s="36"/>
    </row>
    <row r="949" spans="2:33" s="44" customFormat="1" x14ac:dyDescent="0.3">
      <c r="B949" s="23"/>
      <c r="C949" s="40"/>
      <c r="D949" s="40"/>
      <c r="E949" s="41"/>
      <c r="F949" s="41"/>
      <c r="G949" s="41"/>
      <c r="H949" s="42"/>
      <c r="I949" s="42"/>
      <c r="J949" s="42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2"/>
      <c r="X949" s="42"/>
      <c r="Y949" s="42"/>
      <c r="Z949" s="42"/>
      <c r="AA949" s="42"/>
      <c r="AB949" s="42"/>
      <c r="AC949" s="36"/>
      <c r="AD949" s="36"/>
      <c r="AE949" s="36"/>
      <c r="AF949" s="42"/>
      <c r="AG949" s="36"/>
    </row>
    <row r="950" spans="2:33" s="44" customFormat="1" x14ac:dyDescent="0.3">
      <c r="B950" s="23"/>
      <c r="C950" s="40"/>
      <c r="D950" s="40"/>
      <c r="E950" s="41"/>
      <c r="F950" s="41"/>
      <c r="G950" s="41"/>
      <c r="H950" s="42"/>
      <c r="I950" s="42"/>
      <c r="J950" s="42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2"/>
      <c r="X950" s="42"/>
      <c r="Y950" s="42"/>
      <c r="Z950" s="42"/>
      <c r="AA950" s="42"/>
      <c r="AB950" s="42"/>
      <c r="AC950" s="36"/>
      <c r="AD950" s="36"/>
      <c r="AE950" s="36"/>
      <c r="AF950" s="42"/>
      <c r="AG950" s="36"/>
    </row>
    <row r="951" spans="2:33" s="44" customFormat="1" x14ac:dyDescent="0.3">
      <c r="B951" s="23"/>
      <c r="C951" s="40"/>
      <c r="D951" s="40"/>
      <c r="E951" s="41"/>
      <c r="F951" s="41"/>
      <c r="G951" s="41"/>
      <c r="H951" s="42"/>
      <c r="I951" s="42"/>
      <c r="J951" s="42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2"/>
      <c r="X951" s="42"/>
      <c r="Y951" s="42"/>
      <c r="Z951" s="42"/>
      <c r="AA951" s="42"/>
      <c r="AB951" s="42"/>
      <c r="AC951" s="36"/>
      <c r="AD951" s="36"/>
      <c r="AE951" s="36"/>
      <c r="AF951" s="42"/>
      <c r="AG951" s="36"/>
    </row>
    <row r="952" spans="2:33" s="44" customFormat="1" x14ac:dyDescent="0.3">
      <c r="B952" s="23"/>
      <c r="C952" s="40"/>
      <c r="D952" s="40"/>
      <c r="E952" s="41"/>
      <c r="F952" s="41"/>
      <c r="G952" s="41"/>
      <c r="H952" s="42"/>
      <c r="I952" s="42"/>
      <c r="J952" s="42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2"/>
      <c r="X952" s="42"/>
      <c r="Y952" s="42"/>
      <c r="Z952" s="42"/>
      <c r="AA952" s="42"/>
      <c r="AB952" s="42"/>
      <c r="AC952" s="36"/>
      <c r="AD952" s="36"/>
      <c r="AE952" s="36"/>
      <c r="AF952" s="42"/>
      <c r="AG952" s="36"/>
    </row>
    <row r="953" spans="2:33" s="44" customFormat="1" x14ac:dyDescent="0.3">
      <c r="B953" s="23"/>
      <c r="C953" s="40"/>
      <c r="D953" s="40"/>
      <c r="E953" s="41"/>
      <c r="F953" s="41"/>
      <c r="G953" s="41"/>
      <c r="H953" s="42"/>
      <c r="I953" s="42"/>
      <c r="J953" s="42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2"/>
      <c r="X953" s="42"/>
      <c r="Y953" s="42"/>
      <c r="Z953" s="42"/>
      <c r="AA953" s="42"/>
      <c r="AB953" s="42"/>
      <c r="AC953" s="36"/>
      <c r="AD953" s="36"/>
      <c r="AE953" s="36"/>
      <c r="AF953" s="42"/>
      <c r="AG953" s="36"/>
    </row>
    <row r="954" spans="2:33" s="44" customFormat="1" x14ac:dyDescent="0.3">
      <c r="B954" s="23"/>
      <c r="C954" s="40"/>
      <c r="D954" s="40"/>
      <c r="E954" s="41"/>
      <c r="F954" s="41"/>
      <c r="G954" s="41"/>
      <c r="H954" s="42"/>
      <c r="I954" s="42"/>
      <c r="J954" s="42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2"/>
      <c r="X954" s="42"/>
      <c r="Y954" s="42"/>
      <c r="Z954" s="42"/>
      <c r="AA954" s="42"/>
      <c r="AB954" s="42"/>
      <c r="AC954" s="36"/>
      <c r="AD954" s="36"/>
      <c r="AE954" s="36"/>
      <c r="AF954" s="42"/>
      <c r="AG954" s="36"/>
    </row>
    <row r="955" spans="2:33" s="44" customFormat="1" x14ac:dyDescent="0.3">
      <c r="B955" s="23"/>
      <c r="C955" s="40"/>
      <c r="D955" s="40"/>
      <c r="E955" s="41"/>
      <c r="F955" s="41"/>
      <c r="G955" s="41"/>
      <c r="H955" s="42"/>
      <c r="I955" s="42"/>
      <c r="J955" s="42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2"/>
      <c r="X955" s="42"/>
      <c r="Y955" s="42"/>
      <c r="Z955" s="42"/>
      <c r="AA955" s="42"/>
      <c r="AB955" s="42"/>
      <c r="AC955" s="36"/>
      <c r="AD955" s="36"/>
      <c r="AE955" s="36"/>
      <c r="AF955" s="42"/>
      <c r="AG955" s="36"/>
    </row>
    <row r="956" spans="2:33" s="44" customFormat="1" x14ac:dyDescent="0.3">
      <c r="B956" s="23"/>
      <c r="C956" s="40"/>
      <c r="D956" s="40"/>
      <c r="E956" s="41"/>
      <c r="F956" s="41"/>
      <c r="G956" s="41"/>
      <c r="H956" s="42"/>
      <c r="I956" s="42"/>
      <c r="J956" s="42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2"/>
      <c r="X956" s="42"/>
      <c r="Y956" s="42"/>
      <c r="Z956" s="42"/>
      <c r="AA956" s="42"/>
      <c r="AB956" s="42"/>
      <c r="AC956" s="36"/>
      <c r="AD956" s="36"/>
      <c r="AE956" s="36"/>
      <c r="AF956" s="42"/>
      <c r="AG956" s="36"/>
    </row>
    <row r="957" spans="2:33" s="44" customFormat="1" x14ac:dyDescent="0.3">
      <c r="B957" s="23"/>
      <c r="C957" s="40"/>
      <c r="D957" s="40"/>
      <c r="E957" s="41"/>
      <c r="F957" s="41"/>
      <c r="G957" s="41"/>
      <c r="H957" s="42"/>
      <c r="I957" s="42"/>
      <c r="J957" s="42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2"/>
      <c r="X957" s="42"/>
      <c r="Y957" s="42"/>
      <c r="Z957" s="42"/>
      <c r="AA957" s="42"/>
      <c r="AB957" s="42"/>
      <c r="AC957" s="36"/>
      <c r="AD957" s="36"/>
      <c r="AE957" s="36"/>
      <c r="AF957" s="42"/>
      <c r="AG957" s="36"/>
    </row>
    <row r="958" spans="2:33" s="44" customFormat="1" x14ac:dyDescent="0.3">
      <c r="B958" s="23"/>
      <c r="C958" s="40"/>
      <c r="D958" s="40"/>
      <c r="E958" s="41"/>
      <c r="F958" s="41"/>
      <c r="G958" s="41"/>
      <c r="H958" s="42"/>
      <c r="I958" s="42"/>
      <c r="J958" s="42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2"/>
      <c r="X958" s="42"/>
      <c r="Y958" s="42"/>
      <c r="Z958" s="42"/>
      <c r="AA958" s="42"/>
      <c r="AB958" s="42"/>
      <c r="AC958" s="36"/>
      <c r="AD958" s="36"/>
      <c r="AE958" s="36"/>
      <c r="AF958" s="42"/>
      <c r="AG958" s="36"/>
    </row>
    <row r="959" spans="2:33" s="44" customFormat="1" x14ac:dyDescent="0.3">
      <c r="B959" s="23"/>
      <c r="C959" s="40"/>
      <c r="D959" s="40"/>
      <c r="E959" s="41"/>
      <c r="F959" s="41"/>
      <c r="G959" s="41"/>
      <c r="H959" s="42"/>
      <c r="I959" s="42"/>
      <c r="J959" s="42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2"/>
      <c r="X959" s="42"/>
      <c r="Y959" s="42"/>
      <c r="Z959" s="42"/>
      <c r="AA959" s="42"/>
      <c r="AB959" s="42"/>
      <c r="AC959" s="36"/>
      <c r="AD959" s="36"/>
      <c r="AE959" s="36"/>
      <c r="AF959" s="42"/>
      <c r="AG959" s="36"/>
    </row>
    <row r="960" spans="2:33" s="44" customFormat="1" x14ac:dyDescent="0.3">
      <c r="B960" s="23"/>
      <c r="C960" s="40"/>
      <c r="D960" s="40"/>
      <c r="E960" s="41"/>
      <c r="F960" s="41"/>
      <c r="G960" s="41"/>
      <c r="H960" s="42"/>
      <c r="I960" s="42"/>
      <c r="J960" s="42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2"/>
      <c r="X960" s="42"/>
      <c r="Y960" s="42"/>
      <c r="Z960" s="42"/>
      <c r="AA960" s="42"/>
      <c r="AB960" s="42"/>
      <c r="AC960" s="36"/>
      <c r="AD960" s="36"/>
      <c r="AE960" s="36"/>
      <c r="AF960" s="42"/>
      <c r="AG960" s="36"/>
    </row>
    <row r="961" spans="2:33" s="44" customFormat="1" x14ac:dyDescent="0.3">
      <c r="B961" s="23"/>
      <c r="C961" s="40"/>
      <c r="D961" s="40"/>
      <c r="E961" s="41"/>
      <c r="F961" s="41"/>
      <c r="G961" s="41"/>
      <c r="H961" s="42"/>
      <c r="I961" s="42"/>
      <c r="J961" s="42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2"/>
      <c r="X961" s="42"/>
      <c r="Y961" s="42"/>
      <c r="Z961" s="42"/>
      <c r="AA961" s="42"/>
      <c r="AB961" s="42"/>
      <c r="AC961" s="36"/>
      <c r="AD961" s="36"/>
      <c r="AE961" s="36"/>
      <c r="AF961" s="42"/>
      <c r="AG961" s="36"/>
    </row>
    <row r="962" spans="2:33" s="44" customFormat="1" x14ac:dyDescent="0.3">
      <c r="B962" s="23"/>
      <c r="C962" s="40"/>
      <c r="D962" s="40"/>
      <c r="E962" s="41"/>
      <c r="F962" s="41"/>
      <c r="G962" s="41"/>
      <c r="H962" s="42"/>
      <c r="I962" s="42"/>
      <c r="J962" s="42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2"/>
      <c r="X962" s="42"/>
      <c r="Y962" s="42"/>
      <c r="Z962" s="42"/>
      <c r="AA962" s="42"/>
      <c r="AB962" s="42"/>
      <c r="AC962" s="36"/>
      <c r="AD962" s="36"/>
      <c r="AE962" s="36"/>
      <c r="AF962" s="42"/>
      <c r="AG962" s="36"/>
    </row>
    <row r="963" spans="2:33" s="44" customFormat="1" x14ac:dyDescent="0.3">
      <c r="B963" s="23"/>
      <c r="C963" s="40"/>
      <c r="D963" s="40"/>
      <c r="E963" s="41"/>
      <c r="F963" s="41"/>
      <c r="G963" s="41"/>
      <c r="H963" s="42"/>
      <c r="I963" s="42"/>
      <c r="J963" s="42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2"/>
      <c r="X963" s="42"/>
      <c r="Y963" s="42"/>
      <c r="Z963" s="42"/>
      <c r="AA963" s="42"/>
      <c r="AB963" s="42"/>
      <c r="AC963" s="36"/>
      <c r="AD963" s="36"/>
      <c r="AE963" s="36"/>
      <c r="AF963" s="42"/>
      <c r="AG963" s="36"/>
    </row>
    <row r="964" spans="2:33" s="44" customFormat="1" x14ac:dyDescent="0.3">
      <c r="B964" s="23"/>
      <c r="C964" s="40"/>
      <c r="D964" s="40"/>
      <c r="E964" s="41"/>
      <c r="F964" s="41"/>
      <c r="G964" s="41"/>
      <c r="H964" s="42"/>
      <c r="I964" s="42"/>
      <c r="J964" s="42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2"/>
      <c r="X964" s="42"/>
      <c r="Y964" s="42"/>
      <c r="Z964" s="42"/>
      <c r="AA964" s="42"/>
      <c r="AB964" s="42"/>
      <c r="AC964" s="36"/>
      <c r="AD964" s="36"/>
      <c r="AE964" s="36"/>
      <c r="AF964" s="42"/>
      <c r="AG964" s="36"/>
    </row>
    <row r="965" spans="2:33" s="44" customFormat="1" x14ac:dyDescent="0.3">
      <c r="B965" s="23"/>
      <c r="C965" s="40"/>
      <c r="D965" s="40"/>
      <c r="E965" s="41"/>
      <c r="F965" s="41"/>
      <c r="G965" s="41"/>
      <c r="H965" s="42"/>
      <c r="I965" s="42"/>
      <c r="J965" s="42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2"/>
      <c r="X965" s="42"/>
      <c r="Y965" s="42"/>
      <c r="Z965" s="42"/>
      <c r="AA965" s="42"/>
      <c r="AB965" s="42"/>
      <c r="AC965" s="36"/>
      <c r="AD965" s="36"/>
      <c r="AE965" s="36"/>
      <c r="AF965" s="42"/>
      <c r="AG965" s="36"/>
    </row>
    <row r="966" spans="2:33" s="44" customFormat="1" x14ac:dyDescent="0.3">
      <c r="B966" s="23"/>
      <c r="C966" s="40"/>
      <c r="D966" s="40"/>
      <c r="E966" s="41"/>
      <c r="F966" s="41"/>
      <c r="G966" s="41"/>
      <c r="H966" s="42"/>
      <c r="I966" s="42"/>
      <c r="J966" s="42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2"/>
      <c r="X966" s="42"/>
      <c r="Y966" s="42"/>
      <c r="Z966" s="42"/>
      <c r="AA966" s="42"/>
      <c r="AB966" s="42"/>
      <c r="AC966" s="36"/>
      <c r="AD966" s="36"/>
      <c r="AE966" s="36"/>
      <c r="AF966" s="42"/>
      <c r="AG966" s="36"/>
    </row>
    <row r="967" spans="2:33" s="44" customFormat="1" x14ac:dyDescent="0.3">
      <c r="B967" s="23"/>
      <c r="C967" s="40"/>
      <c r="D967" s="40"/>
      <c r="E967" s="41"/>
      <c r="F967" s="41"/>
      <c r="G967" s="41"/>
      <c r="H967" s="42"/>
      <c r="I967" s="42"/>
      <c r="J967" s="42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2"/>
      <c r="X967" s="42"/>
      <c r="Y967" s="42"/>
      <c r="Z967" s="42"/>
      <c r="AA967" s="42"/>
      <c r="AB967" s="42"/>
      <c r="AC967" s="36"/>
      <c r="AD967" s="36"/>
      <c r="AE967" s="36"/>
      <c r="AF967" s="42"/>
      <c r="AG967" s="36"/>
    </row>
    <row r="968" spans="2:33" s="44" customFormat="1" x14ac:dyDescent="0.3">
      <c r="B968" s="23"/>
      <c r="C968" s="40"/>
      <c r="D968" s="40"/>
      <c r="E968" s="41"/>
      <c r="F968" s="41"/>
      <c r="G968" s="41"/>
      <c r="H968" s="42"/>
      <c r="I968" s="42"/>
      <c r="J968" s="42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2"/>
      <c r="X968" s="42"/>
      <c r="Y968" s="42"/>
      <c r="Z968" s="42"/>
      <c r="AA968" s="42"/>
      <c r="AB968" s="42"/>
      <c r="AC968" s="36"/>
      <c r="AD968" s="36"/>
      <c r="AE968" s="36"/>
      <c r="AF968" s="42"/>
      <c r="AG968" s="36"/>
    </row>
    <row r="969" spans="2:33" s="44" customFormat="1" x14ac:dyDescent="0.3">
      <c r="B969" s="23"/>
      <c r="C969" s="40"/>
      <c r="D969" s="40"/>
      <c r="E969" s="41"/>
      <c r="F969" s="41"/>
      <c r="G969" s="41"/>
      <c r="H969" s="42"/>
      <c r="I969" s="42"/>
      <c r="J969" s="42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2"/>
      <c r="X969" s="42"/>
      <c r="Y969" s="42"/>
      <c r="Z969" s="42"/>
      <c r="AA969" s="42"/>
      <c r="AB969" s="42"/>
      <c r="AC969" s="36"/>
      <c r="AD969" s="36"/>
      <c r="AE969" s="36"/>
      <c r="AF969" s="42"/>
      <c r="AG969" s="36"/>
    </row>
    <row r="970" spans="2:33" s="44" customFormat="1" x14ac:dyDescent="0.3">
      <c r="B970" s="23"/>
      <c r="C970" s="40"/>
      <c r="D970" s="40"/>
      <c r="E970" s="41"/>
      <c r="F970" s="41"/>
      <c r="G970" s="41"/>
      <c r="H970" s="42"/>
      <c r="I970" s="42"/>
      <c r="J970" s="42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2"/>
      <c r="X970" s="42"/>
      <c r="Y970" s="42"/>
      <c r="Z970" s="42"/>
      <c r="AA970" s="42"/>
      <c r="AB970" s="42"/>
      <c r="AC970" s="36"/>
      <c r="AD970" s="36"/>
      <c r="AE970" s="36"/>
      <c r="AF970" s="42"/>
      <c r="AG970" s="36"/>
    </row>
    <row r="971" spans="2:33" s="44" customFormat="1" x14ac:dyDescent="0.3">
      <c r="B971" s="23"/>
      <c r="C971" s="40"/>
      <c r="D971" s="40"/>
      <c r="E971" s="41"/>
      <c r="F971" s="41"/>
      <c r="G971" s="41"/>
      <c r="H971" s="42"/>
      <c r="I971" s="42"/>
      <c r="J971" s="42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2"/>
      <c r="X971" s="42"/>
      <c r="Y971" s="42"/>
      <c r="Z971" s="42"/>
      <c r="AA971" s="42"/>
      <c r="AB971" s="42"/>
      <c r="AC971" s="36"/>
      <c r="AD971" s="36"/>
      <c r="AE971" s="36"/>
      <c r="AF971" s="42"/>
      <c r="AG971" s="36"/>
    </row>
    <row r="972" spans="2:33" s="44" customFormat="1" x14ac:dyDescent="0.3">
      <c r="B972" s="23"/>
      <c r="C972" s="40"/>
      <c r="D972" s="40"/>
      <c r="E972" s="41"/>
      <c r="F972" s="41"/>
      <c r="G972" s="41"/>
      <c r="H972" s="42"/>
      <c r="I972" s="42"/>
      <c r="J972" s="42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2"/>
      <c r="X972" s="42"/>
      <c r="Y972" s="42"/>
      <c r="Z972" s="42"/>
      <c r="AA972" s="42"/>
      <c r="AB972" s="42"/>
      <c r="AC972" s="36"/>
      <c r="AD972" s="36"/>
      <c r="AE972" s="36"/>
      <c r="AF972" s="42"/>
      <c r="AG972" s="36"/>
    </row>
    <row r="973" spans="2:33" s="44" customFormat="1" x14ac:dyDescent="0.3">
      <c r="B973" s="23"/>
      <c r="C973" s="40"/>
      <c r="D973" s="40"/>
      <c r="E973" s="41"/>
      <c r="F973" s="41"/>
      <c r="G973" s="41"/>
      <c r="H973" s="42"/>
      <c r="I973" s="42"/>
      <c r="J973" s="42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2"/>
      <c r="X973" s="42"/>
      <c r="Y973" s="42"/>
      <c r="Z973" s="42"/>
      <c r="AA973" s="42"/>
      <c r="AB973" s="42"/>
      <c r="AC973" s="36"/>
      <c r="AD973" s="36"/>
      <c r="AE973" s="36"/>
      <c r="AF973" s="42"/>
      <c r="AG973" s="36"/>
    </row>
    <row r="974" spans="2:33" s="44" customFormat="1" x14ac:dyDescent="0.3">
      <c r="B974" s="23"/>
      <c r="C974" s="40"/>
      <c r="D974" s="40"/>
      <c r="E974" s="41"/>
      <c r="F974" s="41"/>
      <c r="G974" s="41"/>
      <c r="H974" s="42"/>
      <c r="I974" s="42"/>
      <c r="J974" s="42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2"/>
      <c r="X974" s="42"/>
      <c r="Y974" s="42"/>
      <c r="Z974" s="42"/>
      <c r="AA974" s="42"/>
      <c r="AB974" s="42"/>
      <c r="AC974" s="36"/>
      <c r="AD974" s="36"/>
      <c r="AE974" s="36"/>
      <c r="AF974" s="42"/>
      <c r="AG974" s="36"/>
    </row>
    <row r="975" spans="2:33" s="44" customFormat="1" x14ac:dyDescent="0.3">
      <c r="B975" s="23"/>
      <c r="C975" s="40"/>
      <c r="D975" s="40"/>
      <c r="E975" s="41"/>
      <c r="F975" s="41"/>
      <c r="G975" s="41"/>
      <c r="H975" s="42"/>
      <c r="I975" s="42"/>
      <c r="J975" s="42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2"/>
      <c r="X975" s="42"/>
      <c r="Y975" s="42"/>
      <c r="Z975" s="42"/>
      <c r="AA975" s="42"/>
      <c r="AB975" s="42"/>
      <c r="AC975" s="36"/>
      <c r="AD975" s="36"/>
      <c r="AE975" s="36"/>
      <c r="AF975" s="42"/>
      <c r="AG975" s="36"/>
    </row>
    <row r="976" spans="2:33" s="44" customFormat="1" x14ac:dyDescent="0.3">
      <c r="B976" s="23"/>
      <c r="C976" s="40"/>
      <c r="D976" s="40"/>
      <c r="E976" s="41"/>
      <c r="F976" s="41"/>
      <c r="G976" s="41"/>
      <c r="H976" s="42"/>
      <c r="I976" s="42"/>
      <c r="J976" s="42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2"/>
      <c r="X976" s="42"/>
      <c r="Y976" s="42"/>
      <c r="Z976" s="42"/>
      <c r="AA976" s="42"/>
      <c r="AB976" s="42"/>
      <c r="AC976" s="36"/>
      <c r="AD976" s="36"/>
      <c r="AE976" s="36"/>
      <c r="AF976" s="42"/>
      <c r="AG976" s="36"/>
    </row>
    <row r="977" spans="2:33" s="44" customFormat="1" x14ac:dyDescent="0.3">
      <c r="B977" s="23"/>
      <c r="C977" s="40"/>
      <c r="D977" s="40"/>
      <c r="E977" s="41"/>
      <c r="F977" s="41"/>
      <c r="G977" s="41"/>
      <c r="H977" s="42"/>
      <c r="I977" s="42"/>
      <c r="J977" s="42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2"/>
      <c r="X977" s="42"/>
      <c r="Y977" s="42"/>
      <c r="Z977" s="42"/>
      <c r="AA977" s="42"/>
      <c r="AB977" s="42"/>
      <c r="AC977" s="36"/>
      <c r="AD977" s="36"/>
      <c r="AE977" s="36"/>
      <c r="AF977" s="42"/>
      <c r="AG977" s="36"/>
    </row>
    <row r="978" spans="2:33" s="44" customFormat="1" x14ac:dyDescent="0.3">
      <c r="B978" s="23"/>
      <c r="C978" s="40"/>
      <c r="D978" s="40"/>
      <c r="E978" s="41"/>
      <c r="F978" s="41"/>
      <c r="G978" s="41"/>
      <c r="H978" s="42"/>
      <c r="I978" s="42"/>
      <c r="J978" s="42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2"/>
      <c r="X978" s="42"/>
      <c r="Y978" s="42"/>
      <c r="Z978" s="42"/>
      <c r="AA978" s="42"/>
      <c r="AB978" s="42"/>
      <c r="AC978" s="36"/>
      <c r="AD978" s="36"/>
      <c r="AE978" s="36"/>
      <c r="AF978" s="42"/>
      <c r="AG978" s="36"/>
    </row>
    <row r="979" spans="2:33" s="44" customFormat="1" x14ac:dyDescent="0.3">
      <c r="B979" s="23"/>
      <c r="C979" s="40"/>
      <c r="D979" s="40"/>
      <c r="E979" s="41"/>
      <c r="F979" s="41"/>
      <c r="G979" s="41"/>
      <c r="H979" s="42"/>
      <c r="I979" s="42"/>
      <c r="J979" s="42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2"/>
      <c r="X979" s="42"/>
      <c r="Y979" s="42"/>
      <c r="Z979" s="42"/>
      <c r="AA979" s="42"/>
      <c r="AB979" s="42"/>
      <c r="AC979" s="36"/>
      <c r="AD979" s="36"/>
      <c r="AE979" s="36"/>
      <c r="AF979" s="42"/>
      <c r="AG979" s="36"/>
    </row>
    <row r="980" spans="2:33" s="44" customFormat="1" x14ac:dyDescent="0.3">
      <c r="B980" s="23"/>
      <c r="C980" s="40"/>
      <c r="D980" s="40"/>
      <c r="E980" s="41"/>
      <c r="F980" s="41"/>
      <c r="G980" s="41"/>
      <c r="H980" s="42"/>
      <c r="I980" s="42"/>
      <c r="J980" s="42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2"/>
      <c r="X980" s="42"/>
      <c r="Y980" s="42"/>
      <c r="Z980" s="42"/>
      <c r="AA980" s="42"/>
      <c r="AB980" s="42"/>
      <c r="AC980" s="36"/>
      <c r="AD980" s="36"/>
      <c r="AE980" s="36"/>
      <c r="AF980" s="42"/>
      <c r="AG980" s="36"/>
    </row>
    <row r="981" spans="2:33" s="44" customFormat="1" x14ac:dyDescent="0.3">
      <c r="B981" s="23"/>
      <c r="C981" s="40"/>
      <c r="D981" s="40"/>
      <c r="E981" s="41"/>
      <c r="F981" s="41"/>
      <c r="G981" s="41"/>
      <c r="H981" s="42"/>
      <c r="I981" s="42"/>
      <c r="J981" s="42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2"/>
      <c r="X981" s="42"/>
      <c r="Y981" s="42"/>
      <c r="Z981" s="42"/>
      <c r="AA981" s="42"/>
      <c r="AB981" s="42"/>
      <c r="AC981" s="36"/>
      <c r="AD981" s="36"/>
      <c r="AE981" s="36"/>
      <c r="AF981" s="42"/>
      <c r="AG981" s="36"/>
    </row>
    <row r="982" spans="2:33" s="44" customFormat="1" x14ac:dyDescent="0.3">
      <c r="B982" s="23"/>
      <c r="C982" s="40"/>
      <c r="D982" s="40"/>
      <c r="E982" s="41"/>
      <c r="F982" s="41"/>
      <c r="G982" s="41"/>
      <c r="H982" s="42"/>
      <c r="I982" s="42"/>
      <c r="J982" s="42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2"/>
      <c r="X982" s="42"/>
      <c r="Y982" s="42"/>
      <c r="Z982" s="42"/>
      <c r="AA982" s="42"/>
      <c r="AB982" s="42"/>
      <c r="AC982" s="36"/>
      <c r="AD982" s="36"/>
      <c r="AE982" s="36"/>
      <c r="AF982" s="42"/>
      <c r="AG982" s="36"/>
    </row>
    <row r="983" spans="2:33" s="44" customFormat="1" x14ac:dyDescent="0.3">
      <c r="B983" s="23"/>
      <c r="C983" s="40"/>
      <c r="D983" s="40"/>
      <c r="E983" s="41"/>
      <c r="F983" s="41"/>
      <c r="G983" s="41"/>
      <c r="H983" s="42"/>
      <c r="I983" s="42"/>
      <c r="J983" s="42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2"/>
      <c r="X983" s="42"/>
      <c r="Y983" s="42"/>
      <c r="Z983" s="42"/>
      <c r="AA983" s="42"/>
      <c r="AB983" s="42"/>
      <c r="AC983" s="36"/>
      <c r="AD983" s="36"/>
      <c r="AE983" s="36"/>
      <c r="AF983" s="42"/>
      <c r="AG983" s="36"/>
    </row>
    <row r="984" spans="2:33" s="44" customFormat="1" x14ac:dyDescent="0.3">
      <c r="B984" s="23"/>
      <c r="C984" s="40"/>
      <c r="D984" s="40"/>
      <c r="E984" s="41"/>
      <c r="F984" s="41"/>
      <c r="G984" s="41"/>
      <c r="H984" s="42"/>
      <c r="I984" s="42"/>
      <c r="J984" s="42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2"/>
      <c r="X984" s="42"/>
      <c r="Y984" s="42"/>
      <c r="Z984" s="42"/>
      <c r="AA984" s="42"/>
      <c r="AB984" s="42"/>
      <c r="AC984" s="36"/>
      <c r="AD984" s="36"/>
      <c r="AE984" s="36"/>
      <c r="AF984" s="42"/>
      <c r="AG984" s="36"/>
    </row>
    <row r="985" spans="2:33" s="44" customFormat="1" x14ac:dyDescent="0.3">
      <c r="B985" s="23"/>
      <c r="C985" s="40"/>
      <c r="D985" s="40"/>
      <c r="E985" s="41"/>
      <c r="F985" s="41"/>
      <c r="G985" s="41"/>
      <c r="H985" s="42"/>
      <c r="I985" s="42"/>
      <c r="J985" s="42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2"/>
      <c r="X985" s="42"/>
      <c r="Y985" s="42"/>
      <c r="Z985" s="42"/>
      <c r="AA985" s="42"/>
      <c r="AB985" s="42"/>
      <c r="AC985" s="36"/>
      <c r="AD985" s="36"/>
      <c r="AE985" s="36"/>
      <c r="AF985" s="42"/>
      <c r="AG985" s="36"/>
    </row>
    <row r="986" spans="2:33" s="44" customFormat="1" x14ac:dyDescent="0.3">
      <c r="B986" s="23"/>
      <c r="C986" s="40"/>
      <c r="D986" s="40"/>
      <c r="E986" s="41"/>
      <c r="F986" s="41"/>
      <c r="G986" s="41"/>
      <c r="H986" s="42"/>
      <c r="I986" s="42"/>
      <c r="J986" s="42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2"/>
      <c r="X986" s="42"/>
      <c r="Y986" s="42"/>
      <c r="Z986" s="42"/>
      <c r="AA986" s="42"/>
      <c r="AB986" s="42"/>
      <c r="AC986" s="36"/>
      <c r="AD986" s="36"/>
      <c r="AE986" s="36"/>
      <c r="AF986" s="42"/>
      <c r="AG986" s="36"/>
    </row>
    <row r="987" spans="2:33" s="44" customFormat="1" x14ac:dyDescent="0.3">
      <c r="B987" s="23"/>
      <c r="C987" s="40"/>
      <c r="D987" s="40"/>
      <c r="E987" s="41"/>
      <c r="F987" s="41"/>
      <c r="G987" s="41"/>
      <c r="H987" s="42"/>
      <c r="I987" s="42"/>
      <c r="J987" s="42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2"/>
      <c r="X987" s="42"/>
      <c r="Y987" s="42"/>
      <c r="Z987" s="42"/>
      <c r="AA987" s="42"/>
      <c r="AB987" s="42"/>
      <c r="AC987" s="36"/>
      <c r="AD987" s="36"/>
      <c r="AE987" s="36"/>
      <c r="AF987" s="42"/>
      <c r="AG987" s="36"/>
    </row>
    <row r="988" spans="2:33" s="44" customFormat="1" x14ac:dyDescent="0.3">
      <c r="B988" s="23"/>
      <c r="C988" s="40"/>
      <c r="D988" s="40"/>
      <c r="E988" s="41"/>
      <c r="F988" s="41"/>
      <c r="G988" s="41"/>
      <c r="H988" s="42"/>
      <c r="I988" s="42"/>
      <c r="J988" s="42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2"/>
      <c r="X988" s="42"/>
      <c r="Y988" s="42"/>
      <c r="Z988" s="42"/>
      <c r="AA988" s="42"/>
      <c r="AB988" s="42"/>
      <c r="AC988" s="36"/>
      <c r="AD988" s="36"/>
      <c r="AE988" s="36"/>
      <c r="AF988" s="42"/>
      <c r="AG988" s="36"/>
    </row>
    <row r="989" spans="2:33" s="44" customFormat="1" x14ac:dyDescent="0.3">
      <c r="B989" s="23"/>
      <c r="C989" s="40"/>
      <c r="D989" s="40"/>
      <c r="E989" s="41"/>
      <c r="F989" s="41"/>
      <c r="G989" s="41"/>
      <c r="H989" s="42"/>
      <c r="I989" s="42"/>
      <c r="J989" s="42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2"/>
      <c r="X989" s="42"/>
      <c r="Y989" s="42"/>
      <c r="Z989" s="42"/>
      <c r="AA989" s="42"/>
      <c r="AB989" s="42"/>
      <c r="AC989" s="36"/>
      <c r="AD989" s="36"/>
      <c r="AE989" s="36"/>
      <c r="AF989" s="42"/>
      <c r="AG989" s="36"/>
    </row>
    <row r="990" spans="2:33" s="44" customFormat="1" x14ac:dyDescent="0.3">
      <c r="B990" s="23"/>
      <c r="C990" s="40"/>
      <c r="D990" s="40"/>
      <c r="E990" s="41"/>
      <c r="F990" s="41"/>
      <c r="G990" s="41"/>
      <c r="H990" s="42"/>
      <c r="I990" s="42"/>
      <c r="J990" s="42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2"/>
      <c r="X990" s="42"/>
      <c r="Y990" s="42"/>
      <c r="Z990" s="42"/>
      <c r="AA990" s="42"/>
      <c r="AB990" s="42"/>
      <c r="AC990" s="36"/>
      <c r="AD990" s="36"/>
      <c r="AE990" s="36"/>
      <c r="AF990" s="42"/>
      <c r="AG990" s="36"/>
    </row>
    <row r="991" spans="2:33" s="44" customFormat="1" x14ac:dyDescent="0.3">
      <c r="B991" s="23"/>
      <c r="C991" s="40"/>
      <c r="D991" s="40"/>
      <c r="E991" s="41"/>
      <c r="F991" s="41"/>
      <c r="G991" s="41"/>
      <c r="H991" s="42"/>
      <c r="I991" s="42"/>
      <c r="J991" s="42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2"/>
      <c r="X991" s="42"/>
      <c r="Y991" s="42"/>
      <c r="Z991" s="42"/>
      <c r="AA991" s="42"/>
      <c r="AB991" s="42"/>
      <c r="AC991" s="36"/>
      <c r="AD991" s="36"/>
      <c r="AE991" s="36"/>
      <c r="AF991" s="42"/>
      <c r="AG991" s="36"/>
    </row>
    <row r="992" spans="2:33" s="44" customFormat="1" x14ac:dyDescent="0.3">
      <c r="B992" s="23"/>
      <c r="C992" s="40"/>
      <c r="D992" s="40"/>
      <c r="E992" s="41"/>
      <c r="F992" s="41"/>
      <c r="G992" s="41"/>
      <c r="H992" s="42"/>
      <c r="I992" s="42"/>
      <c r="J992" s="42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2"/>
      <c r="X992" s="42"/>
      <c r="Y992" s="42"/>
      <c r="Z992" s="42"/>
      <c r="AA992" s="42"/>
      <c r="AB992" s="42"/>
      <c r="AC992" s="36"/>
      <c r="AD992" s="36"/>
      <c r="AE992" s="36"/>
      <c r="AF992" s="42"/>
      <c r="AG992" s="36"/>
    </row>
    <row r="993" spans="2:33" s="44" customFormat="1" x14ac:dyDescent="0.3">
      <c r="B993" s="23"/>
      <c r="C993" s="40"/>
      <c r="D993" s="40"/>
      <c r="E993" s="41"/>
      <c r="F993" s="41"/>
      <c r="G993" s="41"/>
      <c r="H993" s="42"/>
      <c r="I993" s="42"/>
      <c r="J993" s="42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2"/>
      <c r="X993" s="42"/>
      <c r="Y993" s="42"/>
      <c r="Z993" s="42"/>
      <c r="AA993" s="42"/>
      <c r="AB993" s="42"/>
      <c r="AC993" s="36"/>
      <c r="AD993" s="36"/>
      <c r="AE993" s="36"/>
      <c r="AF993" s="42"/>
      <c r="AG993" s="36"/>
    </row>
    <row r="994" spans="2:33" s="44" customFormat="1" x14ac:dyDescent="0.3">
      <c r="B994" s="23"/>
      <c r="C994" s="40"/>
      <c r="D994" s="40"/>
      <c r="E994" s="41"/>
      <c r="F994" s="41"/>
      <c r="G994" s="41"/>
      <c r="H994" s="42"/>
      <c r="I994" s="42"/>
      <c r="J994" s="42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2"/>
      <c r="X994" s="42"/>
      <c r="Y994" s="42"/>
      <c r="Z994" s="42"/>
      <c r="AA994" s="42"/>
      <c r="AB994" s="42"/>
      <c r="AC994" s="36"/>
      <c r="AD994" s="36"/>
      <c r="AE994" s="36"/>
      <c r="AF994" s="42"/>
      <c r="AG994" s="36"/>
    </row>
    <row r="995" spans="2:33" s="44" customFormat="1" x14ac:dyDescent="0.3">
      <c r="B995" s="23"/>
      <c r="C995" s="40"/>
      <c r="D995" s="40"/>
      <c r="E995" s="41"/>
      <c r="F995" s="41"/>
      <c r="G995" s="41"/>
      <c r="H995" s="42"/>
      <c r="I995" s="42"/>
      <c r="J995" s="42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2"/>
      <c r="X995" s="42"/>
      <c r="Y995" s="42"/>
      <c r="Z995" s="42"/>
      <c r="AA995" s="42"/>
      <c r="AB995" s="42"/>
      <c r="AC995" s="36"/>
      <c r="AD995" s="36"/>
      <c r="AE995" s="36"/>
      <c r="AF995" s="42"/>
      <c r="AG995" s="36"/>
    </row>
    <row r="996" spans="2:33" s="44" customFormat="1" x14ac:dyDescent="0.3">
      <c r="B996" s="23"/>
      <c r="C996" s="40"/>
      <c r="D996" s="40"/>
      <c r="E996" s="41"/>
      <c r="F996" s="41"/>
      <c r="G996" s="41"/>
      <c r="H996" s="42"/>
      <c r="I996" s="42"/>
      <c r="J996" s="42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2"/>
      <c r="X996" s="42"/>
      <c r="Y996" s="42"/>
      <c r="Z996" s="42"/>
      <c r="AA996" s="42"/>
      <c r="AB996" s="42"/>
      <c r="AC996" s="36"/>
      <c r="AD996" s="36"/>
      <c r="AE996" s="36"/>
      <c r="AF996" s="42"/>
      <c r="AG996" s="36"/>
    </row>
    <row r="997" spans="2:33" s="44" customFormat="1" x14ac:dyDescent="0.3">
      <c r="B997" s="23"/>
      <c r="C997" s="40"/>
      <c r="D997" s="40"/>
      <c r="E997" s="41"/>
      <c r="F997" s="41"/>
      <c r="G997" s="41"/>
      <c r="H997" s="42"/>
      <c r="I997" s="42"/>
      <c r="J997" s="42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2"/>
      <c r="X997" s="42"/>
      <c r="Y997" s="42"/>
      <c r="Z997" s="42"/>
      <c r="AA997" s="42"/>
      <c r="AB997" s="42"/>
      <c r="AC997" s="36"/>
      <c r="AD997" s="36"/>
      <c r="AE997" s="36"/>
      <c r="AF997" s="42"/>
      <c r="AG997" s="36"/>
    </row>
    <row r="998" spans="2:33" s="44" customFormat="1" x14ac:dyDescent="0.3">
      <c r="B998" s="23"/>
      <c r="C998" s="40"/>
      <c r="D998" s="40"/>
      <c r="E998" s="41"/>
      <c r="F998" s="41"/>
      <c r="G998" s="41"/>
      <c r="H998" s="42"/>
      <c r="I998" s="42"/>
      <c r="J998" s="42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2"/>
      <c r="X998" s="42"/>
      <c r="Y998" s="42"/>
      <c r="Z998" s="42"/>
      <c r="AA998" s="42"/>
      <c r="AB998" s="42"/>
      <c r="AC998" s="36"/>
      <c r="AD998" s="36"/>
      <c r="AE998" s="36"/>
      <c r="AF998" s="42"/>
      <c r="AG998" s="36"/>
    </row>
    <row r="999" spans="2:33" s="44" customFormat="1" x14ac:dyDescent="0.3">
      <c r="B999" s="23"/>
      <c r="C999" s="40"/>
      <c r="D999" s="40"/>
      <c r="E999" s="41"/>
      <c r="F999" s="41"/>
      <c r="G999" s="41"/>
      <c r="H999" s="42"/>
      <c r="I999" s="42"/>
      <c r="J999" s="42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2"/>
      <c r="X999" s="42"/>
      <c r="Y999" s="42"/>
      <c r="Z999" s="42"/>
      <c r="AA999" s="42"/>
      <c r="AB999" s="42"/>
      <c r="AC999" s="36"/>
      <c r="AD999" s="36"/>
      <c r="AE999" s="36"/>
      <c r="AF999" s="42"/>
      <c r="AG999" s="36"/>
    </row>
    <row r="1000" spans="2:33" s="44" customFormat="1" x14ac:dyDescent="0.3">
      <c r="B1000" s="23"/>
      <c r="C1000" s="40"/>
      <c r="D1000" s="40"/>
      <c r="E1000" s="41"/>
      <c r="F1000" s="41"/>
      <c r="G1000" s="41"/>
      <c r="H1000" s="42"/>
      <c r="I1000" s="42"/>
      <c r="J1000" s="42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2"/>
      <c r="X1000" s="42"/>
      <c r="Y1000" s="42"/>
      <c r="Z1000" s="42"/>
      <c r="AA1000" s="42"/>
      <c r="AB1000" s="42"/>
      <c r="AC1000" s="36"/>
      <c r="AD1000" s="36"/>
      <c r="AE1000" s="36"/>
      <c r="AF1000" s="42"/>
      <c r="AG1000" s="36"/>
    </row>
    <row r="1001" spans="2:33" s="44" customFormat="1" x14ac:dyDescent="0.3">
      <c r="B1001" s="23"/>
      <c r="C1001" s="40"/>
      <c r="D1001" s="40"/>
      <c r="E1001" s="41"/>
      <c r="F1001" s="41"/>
      <c r="G1001" s="41"/>
      <c r="H1001" s="42"/>
      <c r="I1001" s="42"/>
      <c r="J1001" s="42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2"/>
      <c r="X1001" s="42"/>
      <c r="Y1001" s="42"/>
      <c r="Z1001" s="42"/>
      <c r="AA1001" s="42"/>
      <c r="AB1001" s="42"/>
      <c r="AC1001" s="36"/>
      <c r="AD1001" s="36"/>
      <c r="AE1001" s="36"/>
      <c r="AF1001" s="42"/>
      <c r="AG1001" s="36"/>
    </row>
    <row r="1002" spans="2:33" s="44" customFormat="1" x14ac:dyDescent="0.3">
      <c r="B1002" s="23"/>
      <c r="C1002" s="40"/>
      <c r="D1002" s="40"/>
      <c r="E1002" s="41"/>
      <c r="F1002" s="41"/>
      <c r="G1002" s="41"/>
      <c r="H1002" s="42"/>
      <c r="I1002" s="42"/>
      <c r="J1002" s="42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2"/>
      <c r="X1002" s="42"/>
      <c r="Y1002" s="42"/>
      <c r="Z1002" s="42"/>
      <c r="AA1002" s="42"/>
      <c r="AB1002" s="42"/>
      <c r="AC1002" s="36"/>
      <c r="AD1002" s="36"/>
      <c r="AE1002" s="36"/>
      <c r="AF1002" s="42"/>
      <c r="AG1002" s="36"/>
    </row>
    <row r="1003" spans="2:33" s="44" customFormat="1" x14ac:dyDescent="0.3">
      <c r="B1003" s="23"/>
      <c r="C1003" s="40"/>
      <c r="D1003" s="40"/>
      <c r="E1003" s="41"/>
      <c r="F1003" s="41"/>
      <c r="G1003" s="41"/>
      <c r="H1003" s="42"/>
      <c r="I1003" s="42"/>
      <c r="J1003" s="42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2"/>
      <c r="X1003" s="42"/>
      <c r="Y1003" s="42"/>
      <c r="Z1003" s="42"/>
      <c r="AA1003" s="42"/>
      <c r="AB1003" s="42"/>
      <c r="AC1003" s="36"/>
      <c r="AD1003" s="36"/>
      <c r="AE1003" s="36"/>
      <c r="AF1003" s="42"/>
      <c r="AG1003" s="36"/>
    </row>
    <row r="1004" spans="2:33" s="44" customFormat="1" x14ac:dyDescent="0.3">
      <c r="B1004" s="23"/>
      <c r="C1004" s="40"/>
      <c r="D1004" s="40"/>
      <c r="E1004" s="41"/>
      <c r="F1004" s="41"/>
      <c r="G1004" s="41"/>
      <c r="H1004" s="42"/>
      <c r="I1004" s="42"/>
      <c r="J1004" s="42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2"/>
      <c r="X1004" s="42"/>
      <c r="Y1004" s="42"/>
      <c r="Z1004" s="42"/>
      <c r="AA1004" s="42"/>
      <c r="AB1004" s="42"/>
      <c r="AC1004" s="36"/>
      <c r="AD1004" s="36"/>
      <c r="AE1004" s="36"/>
      <c r="AF1004" s="42"/>
      <c r="AG1004" s="36"/>
    </row>
    <row r="1005" spans="2:33" s="44" customFormat="1" x14ac:dyDescent="0.3">
      <c r="B1005" s="23"/>
      <c r="C1005" s="40"/>
      <c r="D1005" s="40"/>
      <c r="E1005" s="41"/>
      <c r="F1005" s="41"/>
      <c r="G1005" s="41"/>
      <c r="H1005" s="42"/>
      <c r="I1005" s="42"/>
      <c r="J1005" s="42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2"/>
      <c r="X1005" s="42"/>
      <c r="Y1005" s="42"/>
      <c r="Z1005" s="42"/>
      <c r="AA1005" s="42"/>
      <c r="AB1005" s="42"/>
      <c r="AC1005" s="36"/>
      <c r="AD1005" s="36"/>
      <c r="AE1005" s="36"/>
      <c r="AF1005" s="42"/>
      <c r="AG1005" s="36"/>
    </row>
    <row r="1006" spans="2:33" s="44" customFormat="1" x14ac:dyDescent="0.3">
      <c r="B1006" s="23"/>
      <c r="C1006" s="40"/>
      <c r="D1006" s="40"/>
      <c r="E1006" s="41"/>
      <c r="F1006" s="41"/>
      <c r="G1006" s="41"/>
      <c r="H1006" s="42"/>
      <c r="I1006" s="42"/>
      <c r="J1006" s="42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2"/>
      <c r="X1006" s="42"/>
      <c r="Y1006" s="42"/>
      <c r="Z1006" s="42"/>
      <c r="AA1006" s="42"/>
      <c r="AB1006" s="42"/>
      <c r="AC1006" s="36"/>
      <c r="AD1006" s="36"/>
      <c r="AE1006" s="36"/>
      <c r="AF1006" s="42"/>
      <c r="AG1006" s="36"/>
    </row>
    <row r="1007" spans="2:33" s="44" customFormat="1" x14ac:dyDescent="0.3">
      <c r="B1007" s="23"/>
      <c r="C1007" s="40"/>
      <c r="D1007" s="40"/>
      <c r="E1007" s="41"/>
      <c r="F1007" s="41"/>
      <c r="G1007" s="41"/>
      <c r="H1007" s="42"/>
      <c r="I1007" s="42"/>
      <c r="J1007" s="42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2"/>
      <c r="X1007" s="42"/>
      <c r="Y1007" s="42"/>
      <c r="Z1007" s="42"/>
      <c r="AA1007" s="42"/>
      <c r="AB1007" s="42"/>
      <c r="AC1007" s="36"/>
      <c r="AD1007" s="36"/>
      <c r="AE1007" s="36"/>
      <c r="AF1007" s="42"/>
      <c r="AG1007" s="36"/>
    </row>
    <row r="1008" spans="2:33" s="44" customFormat="1" x14ac:dyDescent="0.3">
      <c r="B1008" s="23"/>
      <c r="C1008" s="40"/>
      <c r="D1008" s="40"/>
      <c r="E1008" s="41"/>
      <c r="F1008" s="41"/>
      <c r="G1008" s="41"/>
      <c r="H1008" s="42"/>
      <c r="I1008" s="42"/>
      <c r="J1008" s="42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2"/>
      <c r="X1008" s="42"/>
      <c r="Y1008" s="42"/>
      <c r="Z1008" s="42"/>
      <c r="AA1008" s="42"/>
      <c r="AB1008" s="42"/>
      <c r="AC1008" s="36"/>
      <c r="AD1008" s="36"/>
      <c r="AE1008" s="36"/>
      <c r="AF1008" s="42"/>
      <c r="AG1008" s="36"/>
    </row>
    <row r="1009" spans="2:33" s="44" customFormat="1" x14ac:dyDescent="0.3">
      <c r="B1009" s="23"/>
      <c r="C1009" s="40"/>
      <c r="D1009" s="40"/>
      <c r="E1009" s="41"/>
      <c r="F1009" s="41"/>
      <c r="G1009" s="41"/>
      <c r="H1009" s="42"/>
      <c r="I1009" s="42"/>
      <c r="J1009" s="42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2"/>
      <c r="X1009" s="42"/>
      <c r="Y1009" s="42"/>
      <c r="Z1009" s="42"/>
      <c r="AA1009" s="42"/>
      <c r="AB1009" s="42"/>
      <c r="AC1009" s="36"/>
      <c r="AD1009" s="36"/>
      <c r="AE1009" s="36"/>
      <c r="AF1009" s="42"/>
      <c r="AG1009" s="36"/>
    </row>
    <row r="1010" spans="2:33" s="44" customFormat="1" x14ac:dyDescent="0.3">
      <c r="B1010" s="23"/>
      <c r="C1010" s="40"/>
      <c r="D1010" s="40"/>
      <c r="E1010" s="41"/>
      <c r="F1010" s="41"/>
      <c r="G1010" s="41"/>
      <c r="H1010" s="42"/>
      <c r="I1010" s="42"/>
      <c r="J1010" s="42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2"/>
      <c r="X1010" s="42"/>
      <c r="Y1010" s="42"/>
      <c r="Z1010" s="42"/>
      <c r="AA1010" s="42"/>
      <c r="AB1010" s="42"/>
      <c r="AC1010" s="36"/>
      <c r="AD1010" s="36"/>
      <c r="AE1010" s="36"/>
      <c r="AF1010" s="42"/>
      <c r="AG1010" s="36"/>
    </row>
    <row r="1011" spans="2:33" s="44" customFormat="1" x14ac:dyDescent="0.3">
      <c r="B1011" s="23"/>
      <c r="C1011" s="40"/>
      <c r="D1011" s="40"/>
      <c r="E1011" s="41"/>
      <c r="F1011" s="41"/>
      <c r="G1011" s="41"/>
      <c r="H1011" s="42"/>
      <c r="I1011" s="42"/>
      <c r="J1011" s="42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2"/>
      <c r="X1011" s="42"/>
      <c r="Y1011" s="42"/>
      <c r="Z1011" s="42"/>
      <c r="AA1011" s="42"/>
      <c r="AB1011" s="42"/>
      <c r="AC1011" s="36"/>
      <c r="AD1011" s="36"/>
      <c r="AE1011" s="36"/>
      <c r="AF1011" s="42"/>
      <c r="AG1011" s="36"/>
    </row>
    <row r="1012" spans="2:33" s="44" customFormat="1" x14ac:dyDescent="0.3">
      <c r="B1012" s="23"/>
      <c r="C1012" s="40"/>
      <c r="D1012" s="40"/>
      <c r="E1012" s="41"/>
      <c r="F1012" s="41"/>
      <c r="G1012" s="41"/>
      <c r="H1012" s="42"/>
      <c r="I1012" s="42"/>
      <c r="J1012" s="42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2"/>
      <c r="X1012" s="42"/>
      <c r="Y1012" s="42"/>
      <c r="Z1012" s="42"/>
      <c r="AA1012" s="42"/>
      <c r="AB1012" s="42"/>
      <c r="AC1012" s="36"/>
      <c r="AD1012" s="36"/>
      <c r="AE1012" s="36"/>
      <c r="AF1012" s="42"/>
      <c r="AG1012" s="36"/>
    </row>
    <row r="1013" spans="2:33" s="44" customFormat="1" x14ac:dyDescent="0.3">
      <c r="B1013" s="23"/>
      <c r="C1013" s="40"/>
      <c r="D1013" s="40"/>
      <c r="E1013" s="41"/>
      <c r="F1013" s="41"/>
      <c r="G1013" s="41"/>
      <c r="H1013" s="42"/>
      <c r="I1013" s="42"/>
      <c r="J1013" s="42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2"/>
      <c r="X1013" s="42"/>
      <c r="Y1013" s="42"/>
      <c r="Z1013" s="42"/>
      <c r="AA1013" s="42"/>
      <c r="AB1013" s="42"/>
      <c r="AC1013" s="36"/>
      <c r="AD1013" s="36"/>
      <c r="AE1013" s="36"/>
      <c r="AF1013" s="42"/>
      <c r="AG1013" s="36"/>
    </row>
    <row r="1014" spans="2:33" s="44" customFormat="1" x14ac:dyDescent="0.3">
      <c r="B1014" s="23"/>
      <c r="C1014" s="40"/>
      <c r="D1014" s="40"/>
      <c r="E1014" s="41"/>
      <c r="F1014" s="41"/>
      <c r="G1014" s="41"/>
      <c r="H1014" s="42"/>
      <c r="I1014" s="42"/>
      <c r="J1014" s="42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2"/>
      <c r="X1014" s="42"/>
      <c r="Y1014" s="42"/>
      <c r="Z1014" s="42"/>
      <c r="AA1014" s="42"/>
      <c r="AB1014" s="42"/>
      <c r="AC1014" s="36"/>
      <c r="AD1014" s="36"/>
      <c r="AE1014" s="36"/>
      <c r="AF1014" s="42"/>
      <c r="AG1014" s="36"/>
    </row>
    <row r="1015" spans="2:33" s="44" customFormat="1" x14ac:dyDescent="0.3">
      <c r="B1015" s="23"/>
      <c r="C1015" s="40"/>
      <c r="D1015" s="40"/>
      <c r="E1015" s="41"/>
      <c r="F1015" s="41"/>
      <c r="G1015" s="41"/>
      <c r="H1015" s="42"/>
      <c r="I1015" s="42"/>
      <c r="J1015" s="42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2"/>
      <c r="X1015" s="42"/>
      <c r="Y1015" s="42"/>
      <c r="Z1015" s="42"/>
      <c r="AA1015" s="42"/>
      <c r="AB1015" s="42"/>
      <c r="AC1015" s="36"/>
      <c r="AD1015" s="36"/>
      <c r="AE1015" s="36"/>
      <c r="AF1015" s="42"/>
      <c r="AG1015" s="36"/>
    </row>
    <row r="1016" spans="2:33" s="44" customFormat="1" x14ac:dyDescent="0.3">
      <c r="B1016" s="23"/>
      <c r="C1016" s="40"/>
      <c r="D1016" s="40"/>
      <c r="E1016" s="41"/>
      <c r="F1016" s="41"/>
      <c r="G1016" s="41"/>
      <c r="H1016" s="42"/>
      <c r="I1016" s="42"/>
      <c r="J1016" s="42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2"/>
      <c r="X1016" s="42"/>
      <c r="Y1016" s="42"/>
      <c r="Z1016" s="42"/>
      <c r="AA1016" s="42"/>
      <c r="AB1016" s="42"/>
      <c r="AC1016" s="36"/>
      <c r="AD1016" s="36"/>
      <c r="AE1016" s="36"/>
      <c r="AF1016" s="42"/>
      <c r="AG1016" s="36"/>
    </row>
    <row r="1017" spans="2:33" s="44" customFormat="1" x14ac:dyDescent="0.3">
      <c r="B1017" s="23"/>
      <c r="C1017" s="40"/>
      <c r="D1017" s="40"/>
      <c r="E1017" s="41"/>
      <c r="F1017" s="41"/>
      <c r="G1017" s="41"/>
      <c r="H1017" s="42"/>
      <c r="I1017" s="42"/>
      <c r="J1017" s="42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2"/>
      <c r="X1017" s="42"/>
      <c r="Y1017" s="42"/>
      <c r="Z1017" s="42"/>
      <c r="AA1017" s="42"/>
      <c r="AB1017" s="42"/>
      <c r="AC1017" s="36"/>
      <c r="AD1017" s="36"/>
      <c r="AE1017" s="36"/>
      <c r="AF1017" s="42"/>
      <c r="AG1017" s="36"/>
    </row>
    <row r="1018" spans="2:33" s="44" customFormat="1" x14ac:dyDescent="0.3">
      <c r="B1018" s="23"/>
      <c r="C1018" s="40"/>
      <c r="D1018" s="40"/>
      <c r="E1018" s="41"/>
      <c r="F1018" s="41"/>
      <c r="G1018" s="41"/>
      <c r="H1018" s="42"/>
      <c r="I1018" s="42"/>
      <c r="J1018" s="42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2"/>
      <c r="X1018" s="42"/>
      <c r="Y1018" s="42"/>
      <c r="Z1018" s="42"/>
      <c r="AA1018" s="42"/>
      <c r="AB1018" s="42"/>
      <c r="AC1018" s="36"/>
      <c r="AD1018" s="36"/>
      <c r="AE1018" s="36"/>
      <c r="AF1018" s="42"/>
      <c r="AG1018" s="36"/>
    </row>
    <row r="1019" spans="2:33" s="44" customFormat="1" x14ac:dyDescent="0.3">
      <c r="B1019" s="23"/>
      <c r="C1019" s="40"/>
      <c r="D1019" s="40"/>
      <c r="E1019" s="41"/>
      <c r="F1019" s="41"/>
      <c r="G1019" s="41"/>
      <c r="H1019" s="42"/>
      <c r="I1019" s="42"/>
      <c r="J1019" s="42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2"/>
      <c r="X1019" s="42"/>
      <c r="Y1019" s="42"/>
      <c r="Z1019" s="42"/>
      <c r="AA1019" s="42"/>
      <c r="AB1019" s="42"/>
      <c r="AC1019" s="36"/>
      <c r="AD1019" s="36"/>
      <c r="AE1019" s="36"/>
      <c r="AF1019" s="42"/>
      <c r="AG1019" s="36"/>
    </row>
    <row r="1020" spans="2:33" s="44" customFormat="1" x14ac:dyDescent="0.3">
      <c r="B1020" s="23"/>
      <c r="C1020" s="40"/>
      <c r="D1020" s="40"/>
      <c r="E1020" s="41"/>
      <c r="F1020" s="41"/>
      <c r="G1020" s="41"/>
      <c r="H1020" s="42"/>
      <c r="I1020" s="42"/>
      <c r="J1020" s="42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2"/>
      <c r="X1020" s="42"/>
      <c r="Y1020" s="42"/>
      <c r="Z1020" s="42"/>
      <c r="AA1020" s="42"/>
      <c r="AB1020" s="42"/>
      <c r="AC1020" s="36"/>
      <c r="AD1020" s="36"/>
      <c r="AE1020" s="36"/>
      <c r="AF1020" s="42"/>
      <c r="AG1020" s="36"/>
    </row>
    <row r="1021" spans="2:33" s="44" customFormat="1" x14ac:dyDescent="0.3">
      <c r="B1021" s="23"/>
      <c r="C1021" s="40"/>
      <c r="D1021" s="40"/>
      <c r="E1021" s="41"/>
      <c r="F1021" s="41"/>
      <c r="G1021" s="41"/>
      <c r="H1021" s="42"/>
      <c r="I1021" s="42"/>
      <c r="J1021" s="42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2"/>
      <c r="X1021" s="42"/>
      <c r="Y1021" s="42"/>
      <c r="Z1021" s="42"/>
      <c r="AA1021" s="42"/>
      <c r="AB1021" s="42"/>
      <c r="AC1021" s="36"/>
      <c r="AD1021" s="36"/>
      <c r="AE1021" s="36"/>
      <c r="AF1021" s="42"/>
      <c r="AG1021" s="36"/>
    </row>
    <row r="1022" spans="2:33" s="44" customFormat="1" x14ac:dyDescent="0.3">
      <c r="B1022" s="23"/>
      <c r="C1022" s="40"/>
      <c r="D1022" s="40"/>
      <c r="E1022" s="41"/>
      <c r="F1022" s="41"/>
      <c r="G1022" s="41"/>
      <c r="H1022" s="42"/>
      <c r="I1022" s="42"/>
      <c r="J1022" s="42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2"/>
      <c r="X1022" s="42"/>
      <c r="Y1022" s="42"/>
      <c r="Z1022" s="42"/>
      <c r="AA1022" s="42"/>
      <c r="AB1022" s="42"/>
      <c r="AC1022" s="36"/>
      <c r="AD1022" s="36"/>
      <c r="AE1022" s="36"/>
      <c r="AF1022" s="42"/>
      <c r="AG1022" s="36"/>
    </row>
    <row r="1023" spans="2:33" s="44" customFormat="1" x14ac:dyDescent="0.3">
      <c r="B1023" s="23"/>
      <c r="C1023" s="40"/>
      <c r="D1023" s="40"/>
      <c r="E1023" s="41"/>
      <c r="F1023" s="41"/>
      <c r="G1023" s="41"/>
      <c r="H1023" s="42"/>
      <c r="I1023" s="42"/>
      <c r="J1023" s="42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2"/>
      <c r="X1023" s="42"/>
      <c r="Y1023" s="42"/>
      <c r="Z1023" s="42"/>
      <c r="AA1023" s="42"/>
      <c r="AB1023" s="42"/>
      <c r="AC1023" s="36"/>
      <c r="AD1023" s="36"/>
      <c r="AE1023" s="36"/>
      <c r="AF1023" s="42"/>
      <c r="AG1023" s="36"/>
    </row>
    <row r="1024" spans="2:33" s="44" customFormat="1" x14ac:dyDescent="0.3">
      <c r="B1024" s="23"/>
      <c r="C1024" s="40"/>
      <c r="D1024" s="40"/>
      <c r="E1024" s="41"/>
      <c r="F1024" s="41"/>
      <c r="G1024" s="41"/>
      <c r="H1024" s="42"/>
      <c r="I1024" s="42"/>
      <c r="J1024" s="42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2"/>
      <c r="X1024" s="42"/>
      <c r="Y1024" s="42"/>
      <c r="Z1024" s="42"/>
      <c r="AA1024" s="42"/>
      <c r="AB1024" s="42"/>
      <c r="AC1024" s="36"/>
      <c r="AD1024" s="36"/>
      <c r="AE1024" s="36"/>
      <c r="AF1024" s="42"/>
      <c r="AG1024" s="36"/>
    </row>
    <row r="1025" spans="2:33" s="44" customFormat="1" x14ac:dyDescent="0.3">
      <c r="B1025" s="23"/>
      <c r="C1025" s="40"/>
      <c r="D1025" s="40"/>
      <c r="E1025" s="41"/>
      <c r="F1025" s="41"/>
      <c r="G1025" s="41"/>
      <c r="H1025" s="42"/>
      <c r="I1025" s="42"/>
      <c r="J1025" s="42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2"/>
      <c r="X1025" s="42"/>
      <c r="Y1025" s="42"/>
      <c r="Z1025" s="42"/>
      <c r="AA1025" s="42"/>
      <c r="AB1025" s="42"/>
      <c r="AC1025" s="36"/>
      <c r="AD1025" s="36"/>
      <c r="AE1025" s="36"/>
      <c r="AF1025" s="42"/>
      <c r="AG1025" s="36"/>
    </row>
    <row r="1026" spans="2:33" s="44" customFormat="1" x14ac:dyDescent="0.3">
      <c r="B1026" s="23"/>
      <c r="C1026" s="40"/>
      <c r="D1026" s="40"/>
      <c r="E1026" s="41"/>
      <c r="F1026" s="41"/>
      <c r="G1026" s="41"/>
      <c r="H1026" s="42"/>
      <c r="I1026" s="42"/>
      <c r="J1026" s="42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2"/>
      <c r="X1026" s="42"/>
      <c r="Y1026" s="42"/>
      <c r="Z1026" s="42"/>
      <c r="AA1026" s="42"/>
      <c r="AB1026" s="42"/>
      <c r="AC1026" s="36"/>
      <c r="AD1026" s="36"/>
      <c r="AE1026" s="36"/>
      <c r="AF1026" s="42"/>
      <c r="AG1026" s="36"/>
    </row>
    <row r="1027" spans="2:33" s="44" customFormat="1" x14ac:dyDescent="0.3">
      <c r="B1027" s="23"/>
      <c r="C1027" s="40"/>
      <c r="D1027" s="40"/>
      <c r="E1027" s="41"/>
      <c r="F1027" s="41"/>
      <c r="G1027" s="41"/>
      <c r="H1027" s="42"/>
      <c r="I1027" s="42"/>
      <c r="J1027" s="42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2"/>
      <c r="X1027" s="42"/>
      <c r="Y1027" s="42"/>
      <c r="Z1027" s="42"/>
      <c r="AA1027" s="42"/>
      <c r="AB1027" s="42"/>
      <c r="AC1027" s="36"/>
      <c r="AD1027" s="36"/>
      <c r="AE1027" s="36"/>
      <c r="AF1027" s="42"/>
      <c r="AG1027" s="36"/>
    </row>
    <row r="1028" spans="2:33" s="44" customFormat="1" x14ac:dyDescent="0.3">
      <c r="B1028" s="23"/>
      <c r="C1028" s="40"/>
      <c r="D1028" s="40"/>
      <c r="E1028" s="41"/>
      <c r="F1028" s="41"/>
      <c r="G1028" s="41"/>
      <c r="H1028" s="42"/>
      <c r="I1028" s="42"/>
      <c r="J1028" s="42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2"/>
      <c r="X1028" s="42"/>
      <c r="Y1028" s="42"/>
      <c r="Z1028" s="42"/>
      <c r="AA1028" s="42"/>
      <c r="AB1028" s="42"/>
      <c r="AC1028" s="36"/>
      <c r="AD1028" s="36"/>
      <c r="AE1028" s="36"/>
      <c r="AF1028" s="42"/>
      <c r="AG1028" s="36"/>
    </row>
    <row r="1029" spans="2:33" s="44" customFormat="1" x14ac:dyDescent="0.3">
      <c r="B1029" s="23"/>
      <c r="C1029" s="40"/>
      <c r="D1029" s="40"/>
      <c r="E1029" s="41"/>
      <c r="F1029" s="41"/>
      <c r="G1029" s="41"/>
      <c r="H1029" s="42"/>
      <c r="I1029" s="42"/>
      <c r="J1029" s="42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2"/>
      <c r="X1029" s="42"/>
      <c r="Y1029" s="42"/>
      <c r="Z1029" s="42"/>
      <c r="AA1029" s="42"/>
      <c r="AB1029" s="42"/>
      <c r="AC1029" s="36"/>
      <c r="AD1029" s="36"/>
      <c r="AE1029" s="36"/>
      <c r="AF1029" s="42"/>
      <c r="AG1029" s="36"/>
    </row>
    <row r="1030" spans="2:33" s="44" customFormat="1" x14ac:dyDescent="0.3">
      <c r="B1030" s="23"/>
      <c r="C1030" s="40"/>
      <c r="D1030" s="40"/>
      <c r="E1030" s="41"/>
      <c r="F1030" s="41"/>
      <c r="G1030" s="41"/>
      <c r="H1030" s="42"/>
      <c r="I1030" s="42"/>
      <c r="J1030" s="42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2"/>
      <c r="X1030" s="42"/>
      <c r="Y1030" s="42"/>
      <c r="Z1030" s="42"/>
      <c r="AA1030" s="42"/>
      <c r="AB1030" s="42"/>
      <c r="AC1030" s="36"/>
      <c r="AD1030" s="36"/>
      <c r="AE1030" s="36"/>
      <c r="AF1030" s="42"/>
      <c r="AG1030" s="36"/>
    </row>
    <row r="1031" spans="2:33" s="44" customFormat="1" x14ac:dyDescent="0.3">
      <c r="B1031" s="23"/>
      <c r="C1031" s="40"/>
      <c r="D1031" s="40"/>
      <c r="E1031" s="41"/>
      <c r="F1031" s="41"/>
      <c r="G1031" s="41"/>
      <c r="H1031" s="42"/>
      <c r="I1031" s="42"/>
      <c r="J1031" s="42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2"/>
      <c r="X1031" s="42"/>
      <c r="Y1031" s="42"/>
      <c r="Z1031" s="42"/>
      <c r="AA1031" s="42"/>
      <c r="AB1031" s="42"/>
      <c r="AC1031" s="36"/>
      <c r="AD1031" s="36"/>
      <c r="AE1031" s="36"/>
      <c r="AF1031" s="42"/>
      <c r="AG1031" s="36"/>
    </row>
    <row r="1032" spans="2:33" s="44" customFormat="1" x14ac:dyDescent="0.3">
      <c r="B1032" s="23"/>
      <c r="C1032" s="40"/>
      <c r="D1032" s="40"/>
      <c r="E1032" s="41"/>
      <c r="F1032" s="41"/>
      <c r="G1032" s="41"/>
      <c r="H1032" s="42"/>
      <c r="I1032" s="42"/>
      <c r="J1032" s="42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2"/>
      <c r="X1032" s="42"/>
      <c r="Y1032" s="42"/>
      <c r="Z1032" s="42"/>
      <c r="AA1032" s="42"/>
      <c r="AB1032" s="42"/>
      <c r="AC1032" s="36"/>
      <c r="AD1032" s="36"/>
      <c r="AE1032" s="36"/>
      <c r="AF1032" s="42"/>
      <c r="AG1032" s="36"/>
    </row>
    <row r="1033" spans="2:33" s="44" customFormat="1" x14ac:dyDescent="0.3">
      <c r="B1033" s="23"/>
      <c r="C1033" s="40"/>
      <c r="D1033" s="40"/>
      <c r="E1033" s="41"/>
      <c r="F1033" s="41"/>
      <c r="G1033" s="41"/>
      <c r="H1033" s="42"/>
      <c r="I1033" s="42"/>
      <c r="J1033" s="42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2"/>
      <c r="X1033" s="42"/>
      <c r="Y1033" s="42"/>
      <c r="Z1033" s="42"/>
      <c r="AA1033" s="42"/>
      <c r="AB1033" s="42"/>
      <c r="AC1033" s="36"/>
      <c r="AD1033" s="36"/>
      <c r="AE1033" s="36"/>
      <c r="AF1033" s="42"/>
      <c r="AG1033" s="36"/>
    </row>
    <row r="1034" spans="2:33" s="44" customFormat="1" x14ac:dyDescent="0.3">
      <c r="B1034" s="23"/>
      <c r="C1034" s="40"/>
      <c r="D1034" s="40"/>
      <c r="E1034" s="41"/>
      <c r="F1034" s="41"/>
      <c r="G1034" s="41"/>
      <c r="H1034" s="42"/>
      <c r="I1034" s="42"/>
      <c r="J1034" s="42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2"/>
      <c r="X1034" s="42"/>
      <c r="Y1034" s="42"/>
      <c r="Z1034" s="42"/>
      <c r="AA1034" s="42"/>
      <c r="AB1034" s="42"/>
      <c r="AC1034" s="36"/>
      <c r="AD1034" s="36"/>
      <c r="AE1034" s="36"/>
      <c r="AF1034" s="42"/>
      <c r="AG1034" s="36"/>
    </row>
    <row r="1035" spans="2:33" s="44" customFormat="1" x14ac:dyDescent="0.3">
      <c r="B1035" s="23"/>
      <c r="C1035" s="40"/>
      <c r="D1035" s="40"/>
      <c r="E1035" s="41"/>
      <c r="F1035" s="41"/>
      <c r="G1035" s="41"/>
      <c r="H1035" s="42"/>
      <c r="I1035" s="42"/>
      <c r="J1035" s="42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2"/>
      <c r="X1035" s="42"/>
      <c r="Y1035" s="42"/>
      <c r="Z1035" s="42"/>
      <c r="AA1035" s="42"/>
      <c r="AB1035" s="42"/>
      <c r="AC1035" s="36"/>
      <c r="AD1035" s="36"/>
      <c r="AE1035" s="36"/>
      <c r="AF1035" s="42"/>
      <c r="AG1035" s="36"/>
    </row>
    <row r="1036" spans="2:33" s="44" customFormat="1" x14ac:dyDescent="0.3">
      <c r="B1036" s="23"/>
      <c r="C1036" s="40"/>
      <c r="D1036" s="40"/>
      <c r="E1036" s="41"/>
      <c r="F1036" s="41"/>
      <c r="G1036" s="41"/>
      <c r="H1036" s="42"/>
      <c r="I1036" s="42"/>
      <c r="J1036" s="42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2"/>
      <c r="X1036" s="42"/>
      <c r="Y1036" s="42"/>
      <c r="Z1036" s="42"/>
      <c r="AA1036" s="42"/>
      <c r="AB1036" s="42"/>
      <c r="AC1036" s="36"/>
      <c r="AD1036" s="36"/>
      <c r="AE1036" s="36"/>
      <c r="AF1036" s="42"/>
      <c r="AG1036" s="36"/>
    </row>
    <row r="1037" spans="2:33" s="44" customFormat="1" x14ac:dyDescent="0.3">
      <c r="B1037" s="23"/>
      <c r="C1037" s="40"/>
      <c r="D1037" s="40"/>
      <c r="E1037" s="41"/>
      <c r="F1037" s="41"/>
      <c r="G1037" s="41"/>
      <c r="H1037" s="42"/>
      <c r="I1037" s="42"/>
      <c r="J1037" s="42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2"/>
      <c r="X1037" s="42"/>
      <c r="Y1037" s="42"/>
      <c r="Z1037" s="42"/>
      <c r="AA1037" s="42"/>
      <c r="AB1037" s="42"/>
      <c r="AC1037" s="36"/>
      <c r="AD1037" s="36"/>
      <c r="AE1037" s="36"/>
      <c r="AF1037" s="42"/>
      <c r="AG1037" s="36"/>
    </row>
    <row r="1038" spans="2:33" s="44" customFormat="1" x14ac:dyDescent="0.3">
      <c r="B1038" s="23"/>
      <c r="C1038" s="40"/>
      <c r="D1038" s="40"/>
      <c r="E1038" s="41"/>
      <c r="F1038" s="41"/>
      <c r="G1038" s="41"/>
      <c r="H1038" s="42"/>
      <c r="I1038" s="42"/>
      <c r="J1038" s="42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2"/>
      <c r="X1038" s="42"/>
      <c r="Y1038" s="42"/>
      <c r="Z1038" s="42"/>
      <c r="AA1038" s="42"/>
      <c r="AB1038" s="42"/>
      <c r="AC1038" s="36"/>
      <c r="AD1038" s="36"/>
      <c r="AE1038" s="36"/>
      <c r="AF1038" s="42"/>
      <c r="AG1038" s="36"/>
    </row>
    <row r="1039" spans="2:33" s="44" customFormat="1" x14ac:dyDescent="0.3">
      <c r="B1039" s="23"/>
      <c r="C1039" s="40"/>
      <c r="D1039" s="40"/>
      <c r="E1039" s="41"/>
      <c r="F1039" s="41"/>
      <c r="G1039" s="41"/>
      <c r="H1039" s="42"/>
      <c r="I1039" s="42"/>
      <c r="J1039" s="42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2"/>
      <c r="X1039" s="42"/>
      <c r="Y1039" s="42"/>
      <c r="Z1039" s="42"/>
      <c r="AA1039" s="42"/>
      <c r="AB1039" s="42"/>
      <c r="AC1039" s="36"/>
      <c r="AD1039" s="36"/>
      <c r="AE1039" s="36"/>
      <c r="AF1039" s="42"/>
      <c r="AG1039" s="36"/>
    </row>
    <row r="1040" spans="2:33" s="44" customFormat="1" x14ac:dyDescent="0.3">
      <c r="B1040" s="23"/>
      <c r="C1040" s="40"/>
      <c r="D1040" s="40"/>
      <c r="E1040" s="41"/>
      <c r="F1040" s="41"/>
      <c r="G1040" s="41"/>
      <c r="H1040" s="42"/>
      <c r="I1040" s="42"/>
      <c r="J1040" s="42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2"/>
      <c r="X1040" s="42"/>
      <c r="Y1040" s="42"/>
      <c r="Z1040" s="42"/>
      <c r="AA1040" s="42"/>
      <c r="AB1040" s="42"/>
      <c r="AC1040" s="36"/>
      <c r="AD1040" s="36"/>
      <c r="AE1040" s="36"/>
      <c r="AF1040" s="42"/>
      <c r="AG1040" s="36"/>
    </row>
    <row r="1041" spans="2:33" s="44" customFormat="1" x14ac:dyDescent="0.3">
      <c r="B1041" s="23"/>
      <c r="C1041" s="40"/>
      <c r="D1041" s="40"/>
      <c r="E1041" s="41"/>
      <c r="F1041" s="41"/>
      <c r="G1041" s="41"/>
      <c r="H1041" s="42"/>
      <c r="I1041" s="42"/>
      <c r="J1041" s="42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2"/>
      <c r="X1041" s="42"/>
      <c r="Y1041" s="42"/>
      <c r="Z1041" s="42"/>
      <c r="AA1041" s="42"/>
      <c r="AB1041" s="42"/>
      <c r="AC1041" s="36"/>
      <c r="AD1041" s="36"/>
      <c r="AE1041" s="36"/>
      <c r="AF1041" s="42"/>
      <c r="AG1041" s="36"/>
    </row>
    <row r="1042" spans="2:33" s="44" customFormat="1" x14ac:dyDescent="0.3">
      <c r="B1042" s="23"/>
      <c r="C1042" s="40"/>
      <c r="D1042" s="40"/>
      <c r="E1042" s="41"/>
      <c r="F1042" s="41"/>
      <c r="G1042" s="41"/>
      <c r="H1042" s="42"/>
      <c r="I1042" s="42"/>
      <c r="J1042" s="42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2"/>
      <c r="X1042" s="42"/>
      <c r="Y1042" s="42"/>
      <c r="Z1042" s="42"/>
      <c r="AA1042" s="42"/>
      <c r="AB1042" s="42"/>
      <c r="AC1042" s="36"/>
      <c r="AD1042" s="36"/>
      <c r="AE1042" s="36"/>
      <c r="AF1042" s="42"/>
      <c r="AG1042" s="36"/>
    </row>
    <row r="1043" spans="2:33" s="44" customFormat="1" x14ac:dyDescent="0.3">
      <c r="B1043" s="23"/>
      <c r="C1043" s="40"/>
      <c r="D1043" s="40"/>
      <c r="E1043" s="41"/>
      <c r="F1043" s="41"/>
      <c r="G1043" s="41"/>
      <c r="H1043" s="42"/>
      <c r="I1043" s="42"/>
      <c r="J1043" s="42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2"/>
      <c r="X1043" s="42"/>
      <c r="Y1043" s="42"/>
      <c r="Z1043" s="42"/>
      <c r="AA1043" s="42"/>
      <c r="AB1043" s="42"/>
      <c r="AC1043" s="36"/>
      <c r="AD1043" s="36"/>
      <c r="AE1043" s="36"/>
      <c r="AF1043" s="42"/>
      <c r="AG1043" s="36"/>
    </row>
    <row r="1044" spans="2:33" s="44" customFormat="1" x14ac:dyDescent="0.3">
      <c r="B1044" s="23"/>
      <c r="C1044" s="40"/>
      <c r="D1044" s="40"/>
      <c r="E1044" s="41"/>
      <c r="F1044" s="41"/>
      <c r="G1044" s="41"/>
      <c r="H1044" s="42"/>
      <c r="I1044" s="42"/>
      <c r="J1044" s="42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2"/>
      <c r="X1044" s="42"/>
      <c r="Y1044" s="42"/>
      <c r="Z1044" s="42"/>
      <c r="AA1044" s="42"/>
      <c r="AB1044" s="42"/>
      <c r="AC1044" s="36"/>
      <c r="AD1044" s="36"/>
      <c r="AE1044" s="36"/>
      <c r="AF1044" s="42"/>
      <c r="AG1044" s="36"/>
    </row>
    <row r="1045" spans="2:33" s="44" customFormat="1" x14ac:dyDescent="0.3">
      <c r="B1045" s="23"/>
      <c r="C1045" s="40"/>
      <c r="D1045" s="40"/>
      <c r="E1045" s="41"/>
      <c r="F1045" s="41"/>
      <c r="G1045" s="41"/>
      <c r="H1045" s="42"/>
      <c r="I1045" s="42"/>
      <c r="J1045" s="42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2"/>
      <c r="X1045" s="42"/>
      <c r="Y1045" s="42"/>
      <c r="Z1045" s="42"/>
      <c r="AA1045" s="42"/>
      <c r="AB1045" s="42"/>
      <c r="AC1045" s="36"/>
      <c r="AD1045" s="36"/>
      <c r="AE1045" s="36"/>
      <c r="AF1045" s="42"/>
      <c r="AG1045" s="36"/>
    </row>
    <row r="1046" spans="2:33" s="44" customFormat="1" x14ac:dyDescent="0.3">
      <c r="B1046" s="23"/>
      <c r="C1046" s="40"/>
      <c r="D1046" s="40"/>
      <c r="E1046" s="41"/>
      <c r="F1046" s="41"/>
      <c r="G1046" s="41"/>
      <c r="H1046" s="42"/>
      <c r="I1046" s="42"/>
      <c r="J1046" s="42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2"/>
      <c r="X1046" s="42"/>
      <c r="Y1046" s="42"/>
      <c r="Z1046" s="42"/>
      <c r="AA1046" s="42"/>
      <c r="AB1046" s="42"/>
      <c r="AC1046" s="36"/>
      <c r="AD1046" s="36"/>
      <c r="AE1046" s="36"/>
      <c r="AF1046" s="42"/>
      <c r="AG1046" s="36"/>
    </row>
    <row r="1047" spans="2:33" s="44" customFormat="1" x14ac:dyDescent="0.3">
      <c r="B1047" s="23"/>
      <c r="C1047" s="40"/>
      <c r="D1047" s="40"/>
      <c r="E1047" s="41"/>
      <c r="F1047" s="41"/>
      <c r="G1047" s="41"/>
      <c r="H1047" s="42"/>
      <c r="I1047" s="42"/>
      <c r="J1047" s="42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2"/>
      <c r="X1047" s="42"/>
      <c r="Y1047" s="42"/>
      <c r="Z1047" s="42"/>
      <c r="AA1047" s="42"/>
      <c r="AB1047" s="42"/>
      <c r="AC1047" s="36"/>
      <c r="AD1047" s="36"/>
      <c r="AE1047" s="36"/>
      <c r="AF1047" s="42"/>
      <c r="AG1047" s="36"/>
    </row>
    <row r="1048" spans="2:33" s="44" customFormat="1" x14ac:dyDescent="0.3">
      <c r="B1048" s="23"/>
      <c r="C1048" s="40"/>
      <c r="D1048" s="40"/>
      <c r="E1048" s="41"/>
      <c r="F1048" s="41"/>
      <c r="G1048" s="41"/>
      <c r="H1048" s="42"/>
      <c r="I1048" s="42"/>
      <c r="J1048" s="42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2"/>
      <c r="X1048" s="42"/>
      <c r="Y1048" s="42"/>
      <c r="Z1048" s="42"/>
      <c r="AA1048" s="42"/>
      <c r="AB1048" s="42"/>
      <c r="AC1048" s="36"/>
      <c r="AD1048" s="36"/>
      <c r="AE1048" s="36"/>
      <c r="AF1048" s="42"/>
      <c r="AG1048" s="36"/>
    </row>
    <row r="1049" spans="2:33" s="44" customFormat="1" x14ac:dyDescent="0.3">
      <c r="B1049" s="23"/>
      <c r="C1049" s="40"/>
      <c r="D1049" s="40"/>
      <c r="E1049" s="41"/>
      <c r="F1049" s="41"/>
      <c r="G1049" s="41"/>
      <c r="H1049" s="42"/>
      <c r="I1049" s="42"/>
      <c r="J1049" s="42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2"/>
      <c r="X1049" s="42"/>
      <c r="Y1049" s="42"/>
      <c r="Z1049" s="42"/>
      <c r="AA1049" s="42"/>
      <c r="AB1049" s="42"/>
      <c r="AC1049" s="36"/>
      <c r="AD1049" s="36"/>
      <c r="AE1049" s="36"/>
      <c r="AF1049" s="42"/>
      <c r="AG1049" s="36"/>
    </row>
    <row r="1050" spans="2:33" s="44" customFormat="1" x14ac:dyDescent="0.3">
      <c r="B1050" s="23"/>
      <c r="C1050" s="40"/>
      <c r="D1050" s="40"/>
      <c r="E1050" s="41"/>
      <c r="F1050" s="41"/>
      <c r="G1050" s="41"/>
      <c r="H1050" s="42"/>
      <c r="I1050" s="42"/>
      <c r="J1050" s="42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2"/>
      <c r="X1050" s="42"/>
      <c r="Y1050" s="42"/>
      <c r="Z1050" s="42"/>
      <c r="AA1050" s="42"/>
      <c r="AB1050" s="42"/>
      <c r="AC1050" s="36"/>
      <c r="AD1050" s="36"/>
      <c r="AE1050" s="36"/>
      <c r="AF1050" s="42"/>
      <c r="AG1050" s="36"/>
    </row>
    <row r="1051" spans="2:33" s="44" customFormat="1" x14ac:dyDescent="0.3">
      <c r="B1051" s="23"/>
      <c r="C1051" s="40"/>
      <c r="D1051" s="40"/>
      <c r="E1051" s="41"/>
      <c r="F1051" s="41"/>
      <c r="G1051" s="41"/>
      <c r="H1051" s="42"/>
      <c r="I1051" s="42"/>
      <c r="J1051" s="42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2"/>
      <c r="X1051" s="42"/>
      <c r="Y1051" s="42"/>
      <c r="Z1051" s="42"/>
      <c r="AA1051" s="42"/>
      <c r="AB1051" s="42"/>
      <c r="AC1051" s="36"/>
      <c r="AD1051" s="36"/>
      <c r="AE1051" s="36"/>
      <c r="AF1051" s="42"/>
      <c r="AG1051" s="36"/>
    </row>
    <row r="1052" spans="2:33" s="44" customFormat="1" x14ac:dyDescent="0.3">
      <c r="B1052" s="23"/>
      <c r="C1052" s="40"/>
      <c r="D1052" s="40"/>
      <c r="E1052" s="41"/>
      <c r="F1052" s="41"/>
      <c r="G1052" s="41"/>
      <c r="H1052" s="42"/>
      <c r="I1052" s="42"/>
      <c r="J1052" s="42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2"/>
      <c r="X1052" s="42"/>
      <c r="Y1052" s="42"/>
      <c r="Z1052" s="42"/>
      <c r="AA1052" s="42"/>
      <c r="AB1052" s="42"/>
      <c r="AC1052" s="36"/>
      <c r="AD1052" s="36"/>
      <c r="AE1052" s="36"/>
      <c r="AF1052" s="42"/>
      <c r="AG1052" s="36"/>
    </row>
    <row r="1053" spans="2:33" s="44" customFormat="1" x14ac:dyDescent="0.3">
      <c r="B1053" s="23"/>
      <c r="C1053" s="40"/>
      <c r="D1053" s="40"/>
      <c r="E1053" s="41"/>
      <c r="F1053" s="41"/>
      <c r="G1053" s="41"/>
      <c r="H1053" s="42"/>
      <c r="I1053" s="42"/>
      <c r="J1053" s="42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2"/>
      <c r="X1053" s="42"/>
      <c r="Y1053" s="42"/>
      <c r="Z1053" s="42"/>
      <c r="AA1053" s="42"/>
      <c r="AB1053" s="42"/>
      <c r="AC1053" s="36"/>
      <c r="AD1053" s="36"/>
      <c r="AE1053" s="36"/>
      <c r="AF1053" s="42"/>
      <c r="AG1053" s="36"/>
    </row>
    <row r="1054" spans="2:33" s="44" customFormat="1" x14ac:dyDescent="0.3">
      <c r="B1054" s="23"/>
      <c r="C1054" s="40"/>
      <c r="D1054" s="40"/>
      <c r="E1054" s="41"/>
      <c r="F1054" s="41"/>
      <c r="G1054" s="41"/>
      <c r="H1054" s="42"/>
      <c r="I1054" s="42"/>
      <c r="J1054" s="42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2"/>
      <c r="X1054" s="42"/>
      <c r="Y1054" s="42"/>
      <c r="Z1054" s="42"/>
      <c r="AA1054" s="42"/>
      <c r="AB1054" s="42"/>
      <c r="AC1054" s="36"/>
      <c r="AD1054" s="36"/>
      <c r="AE1054" s="36"/>
      <c r="AF1054" s="42"/>
      <c r="AG1054" s="36"/>
    </row>
    <row r="1055" spans="2:33" s="44" customFormat="1" x14ac:dyDescent="0.3">
      <c r="B1055" s="23"/>
      <c r="C1055" s="40"/>
      <c r="D1055" s="40"/>
      <c r="E1055" s="41"/>
      <c r="F1055" s="41"/>
      <c r="G1055" s="41"/>
      <c r="H1055" s="42"/>
      <c r="I1055" s="42"/>
      <c r="J1055" s="42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2"/>
      <c r="X1055" s="42"/>
      <c r="Y1055" s="42"/>
      <c r="Z1055" s="42"/>
      <c r="AA1055" s="42"/>
      <c r="AB1055" s="42"/>
      <c r="AC1055" s="36"/>
      <c r="AD1055" s="36"/>
      <c r="AE1055" s="36"/>
      <c r="AF1055" s="42"/>
      <c r="AG1055" s="36"/>
    </row>
    <row r="1056" spans="2:33" s="44" customFormat="1" x14ac:dyDescent="0.3">
      <c r="B1056" s="23"/>
      <c r="C1056" s="40"/>
      <c r="D1056" s="40"/>
      <c r="E1056" s="41"/>
      <c r="F1056" s="41"/>
      <c r="G1056" s="41"/>
      <c r="H1056" s="42"/>
      <c r="I1056" s="42"/>
      <c r="J1056" s="42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2"/>
      <c r="X1056" s="42"/>
      <c r="Y1056" s="42"/>
      <c r="Z1056" s="42"/>
      <c r="AA1056" s="42"/>
      <c r="AB1056" s="42"/>
      <c r="AC1056" s="36"/>
      <c r="AD1056" s="36"/>
      <c r="AE1056" s="36"/>
      <c r="AF1056" s="42"/>
      <c r="AG1056" s="36"/>
    </row>
    <row r="1057" spans="2:33" s="44" customFormat="1" x14ac:dyDescent="0.3">
      <c r="B1057" s="23"/>
      <c r="C1057" s="40"/>
      <c r="D1057" s="40"/>
      <c r="E1057" s="41"/>
      <c r="F1057" s="41"/>
      <c r="G1057" s="41"/>
      <c r="H1057" s="42"/>
      <c r="I1057" s="42"/>
      <c r="J1057" s="42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2"/>
      <c r="X1057" s="42"/>
      <c r="Y1057" s="42"/>
      <c r="Z1057" s="42"/>
      <c r="AA1057" s="42"/>
      <c r="AB1057" s="42"/>
      <c r="AC1057" s="36"/>
      <c r="AD1057" s="36"/>
      <c r="AE1057" s="36"/>
      <c r="AF1057" s="42"/>
      <c r="AG1057" s="36"/>
    </row>
    <row r="1058" spans="2:33" s="44" customFormat="1" x14ac:dyDescent="0.3">
      <c r="B1058" s="23"/>
      <c r="C1058" s="40"/>
      <c r="D1058" s="40"/>
      <c r="E1058" s="41"/>
      <c r="F1058" s="41"/>
      <c r="G1058" s="41"/>
      <c r="H1058" s="42"/>
      <c r="I1058" s="42"/>
      <c r="J1058" s="42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2"/>
      <c r="X1058" s="42"/>
      <c r="Y1058" s="42"/>
      <c r="Z1058" s="42"/>
      <c r="AA1058" s="42"/>
      <c r="AB1058" s="42"/>
      <c r="AC1058" s="36"/>
      <c r="AD1058" s="36"/>
      <c r="AE1058" s="36"/>
      <c r="AF1058" s="42"/>
      <c r="AG1058" s="36"/>
    </row>
    <row r="1059" spans="2:33" s="44" customFormat="1" x14ac:dyDescent="0.3">
      <c r="B1059" s="23"/>
      <c r="C1059" s="40"/>
      <c r="D1059" s="40"/>
      <c r="E1059" s="41"/>
      <c r="F1059" s="41"/>
      <c r="G1059" s="41"/>
      <c r="H1059" s="42"/>
      <c r="I1059" s="42"/>
      <c r="J1059" s="42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2"/>
      <c r="X1059" s="42"/>
      <c r="Y1059" s="42"/>
      <c r="Z1059" s="42"/>
      <c r="AA1059" s="42"/>
      <c r="AB1059" s="42"/>
      <c r="AC1059" s="36"/>
      <c r="AD1059" s="36"/>
      <c r="AE1059" s="36"/>
      <c r="AF1059" s="42"/>
      <c r="AG1059" s="36"/>
    </row>
    <row r="1060" spans="2:33" s="44" customFormat="1" x14ac:dyDescent="0.3">
      <c r="B1060" s="23"/>
      <c r="C1060" s="40"/>
      <c r="D1060" s="40"/>
      <c r="E1060" s="41"/>
      <c r="F1060" s="41"/>
      <c r="G1060" s="41"/>
      <c r="H1060" s="42"/>
      <c r="I1060" s="42"/>
      <c r="J1060" s="42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2"/>
      <c r="X1060" s="42"/>
      <c r="Y1060" s="42"/>
      <c r="Z1060" s="42"/>
      <c r="AA1060" s="42"/>
      <c r="AB1060" s="42"/>
      <c r="AC1060" s="36"/>
      <c r="AD1060" s="36"/>
      <c r="AE1060" s="36"/>
      <c r="AF1060" s="42"/>
      <c r="AG1060" s="36"/>
    </row>
    <row r="1061" spans="2:33" s="44" customFormat="1" x14ac:dyDescent="0.3">
      <c r="B1061" s="23"/>
      <c r="C1061" s="40"/>
      <c r="D1061" s="40"/>
      <c r="E1061" s="41"/>
      <c r="F1061" s="41"/>
      <c r="G1061" s="41"/>
      <c r="H1061" s="42"/>
      <c r="I1061" s="42"/>
      <c r="J1061" s="42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2"/>
      <c r="X1061" s="42"/>
      <c r="Y1061" s="42"/>
      <c r="Z1061" s="42"/>
      <c r="AA1061" s="42"/>
      <c r="AB1061" s="42"/>
      <c r="AC1061" s="36"/>
      <c r="AD1061" s="36"/>
      <c r="AE1061" s="36"/>
      <c r="AF1061" s="42"/>
      <c r="AG1061" s="36"/>
    </row>
    <row r="1062" spans="2:33" s="44" customFormat="1" x14ac:dyDescent="0.3">
      <c r="B1062" s="23"/>
      <c r="C1062" s="40"/>
      <c r="D1062" s="40"/>
      <c r="E1062" s="41"/>
      <c r="F1062" s="41"/>
      <c r="G1062" s="41"/>
      <c r="H1062" s="42"/>
      <c r="I1062" s="42"/>
      <c r="J1062" s="42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2"/>
      <c r="X1062" s="42"/>
      <c r="Y1062" s="42"/>
      <c r="Z1062" s="42"/>
      <c r="AA1062" s="42"/>
      <c r="AB1062" s="42"/>
      <c r="AC1062" s="36"/>
      <c r="AD1062" s="36"/>
      <c r="AE1062" s="36"/>
      <c r="AF1062" s="42"/>
      <c r="AG1062" s="36"/>
    </row>
    <row r="1063" spans="2:33" s="44" customFormat="1" x14ac:dyDescent="0.3">
      <c r="B1063" s="23"/>
      <c r="C1063" s="40"/>
      <c r="D1063" s="40"/>
      <c r="E1063" s="41"/>
      <c r="F1063" s="41"/>
      <c r="G1063" s="41"/>
      <c r="H1063" s="42"/>
      <c r="I1063" s="42"/>
      <c r="J1063" s="42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2"/>
      <c r="X1063" s="42"/>
      <c r="Y1063" s="42"/>
      <c r="Z1063" s="42"/>
      <c r="AA1063" s="42"/>
      <c r="AB1063" s="42"/>
      <c r="AC1063" s="36"/>
      <c r="AD1063" s="36"/>
      <c r="AE1063" s="36"/>
      <c r="AF1063" s="42"/>
      <c r="AG1063" s="36"/>
    </row>
    <row r="1064" spans="2:33" s="44" customFormat="1" x14ac:dyDescent="0.3">
      <c r="B1064" s="23"/>
      <c r="C1064" s="40"/>
      <c r="D1064" s="40"/>
      <c r="E1064" s="41"/>
      <c r="F1064" s="41"/>
      <c r="G1064" s="41"/>
      <c r="H1064" s="42"/>
      <c r="I1064" s="42"/>
      <c r="J1064" s="42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2"/>
      <c r="X1064" s="42"/>
      <c r="Y1064" s="42"/>
      <c r="Z1064" s="42"/>
      <c r="AA1064" s="42"/>
      <c r="AB1064" s="42"/>
      <c r="AC1064" s="36"/>
      <c r="AD1064" s="36"/>
      <c r="AE1064" s="36"/>
      <c r="AF1064" s="42"/>
      <c r="AG1064" s="36"/>
    </row>
    <row r="1065" spans="2:33" s="44" customFormat="1" x14ac:dyDescent="0.3">
      <c r="B1065" s="23"/>
      <c r="C1065" s="40"/>
      <c r="D1065" s="40"/>
      <c r="E1065" s="41"/>
      <c r="F1065" s="41"/>
      <c r="G1065" s="41"/>
      <c r="H1065" s="42"/>
      <c r="I1065" s="42"/>
      <c r="J1065" s="42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2"/>
      <c r="X1065" s="42"/>
      <c r="Y1065" s="42"/>
      <c r="Z1065" s="42"/>
      <c r="AA1065" s="42"/>
      <c r="AB1065" s="42"/>
      <c r="AC1065" s="36"/>
      <c r="AD1065" s="36"/>
      <c r="AE1065" s="36"/>
      <c r="AF1065" s="42"/>
      <c r="AG1065" s="36"/>
    </row>
    <row r="1066" spans="2:33" s="44" customFormat="1" x14ac:dyDescent="0.3">
      <c r="B1066" s="23"/>
      <c r="C1066" s="40"/>
      <c r="D1066" s="40"/>
      <c r="E1066" s="41"/>
      <c r="F1066" s="41"/>
      <c r="G1066" s="41"/>
      <c r="H1066" s="42"/>
      <c r="I1066" s="42"/>
      <c r="J1066" s="42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2"/>
      <c r="X1066" s="42"/>
      <c r="Y1066" s="42"/>
      <c r="Z1066" s="42"/>
      <c r="AA1066" s="42"/>
      <c r="AB1066" s="42"/>
      <c r="AC1066" s="36"/>
      <c r="AD1066" s="36"/>
      <c r="AE1066" s="36"/>
      <c r="AF1066" s="42"/>
      <c r="AG1066" s="36"/>
    </row>
    <row r="1067" spans="2:33" s="44" customFormat="1" x14ac:dyDescent="0.3">
      <c r="B1067" s="23"/>
      <c r="C1067" s="40"/>
      <c r="D1067" s="40"/>
      <c r="E1067" s="41"/>
      <c r="F1067" s="41"/>
      <c r="G1067" s="41"/>
      <c r="H1067" s="42"/>
      <c r="I1067" s="42"/>
      <c r="J1067" s="42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2"/>
      <c r="X1067" s="42"/>
      <c r="Y1067" s="42"/>
      <c r="Z1067" s="42"/>
      <c r="AA1067" s="42"/>
      <c r="AB1067" s="42"/>
      <c r="AC1067" s="36"/>
      <c r="AD1067" s="36"/>
      <c r="AE1067" s="36"/>
      <c r="AF1067" s="42"/>
      <c r="AG1067" s="36"/>
    </row>
    <row r="1068" spans="2:33" s="44" customFormat="1" x14ac:dyDescent="0.3">
      <c r="B1068" s="23"/>
      <c r="C1068" s="40"/>
      <c r="D1068" s="40"/>
      <c r="E1068" s="41"/>
      <c r="F1068" s="41"/>
      <c r="G1068" s="41"/>
      <c r="H1068" s="42"/>
      <c r="I1068" s="42"/>
      <c r="J1068" s="42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2"/>
      <c r="X1068" s="42"/>
      <c r="Y1068" s="42"/>
      <c r="Z1068" s="42"/>
      <c r="AA1068" s="42"/>
      <c r="AB1068" s="42"/>
      <c r="AC1068" s="36"/>
      <c r="AD1068" s="36"/>
      <c r="AE1068" s="36"/>
      <c r="AF1068" s="42"/>
      <c r="AG1068" s="36"/>
    </row>
    <row r="1069" spans="2:33" s="44" customFormat="1" x14ac:dyDescent="0.3">
      <c r="B1069" s="23"/>
      <c r="C1069" s="40"/>
      <c r="D1069" s="40"/>
      <c r="E1069" s="41"/>
      <c r="F1069" s="41"/>
      <c r="G1069" s="41"/>
      <c r="H1069" s="42"/>
      <c r="I1069" s="42"/>
      <c r="J1069" s="42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2"/>
      <c r="X1069" s="42"/>
      <c r="Y1069" s="42"/>
      <c r="Z1069" s="42"/>
      <c r="AA1069" s="42"/>
      <c r="AB1069" s="42"/>
      <c r="AC1069" s="36"/>
      <c r="AD1069" s="36"/>
      <c r="AE1069" s="36"/>
      <c r="AF1069" s="42"/>
      <c r="AG1069" s="36"/>
    </row>
    <row r="1070" spans="2:33" s="44" customFormat="1" x14ac:dyDescent="0.3">
      <c r="B1070" s="23"/>
      <c r="C1070" s="40"/>
      <c r="D1070" s="40"/>
      <c r="E1070" s="41"/>
      <c r="F1070" s="41"/>
      <c r="G1070" s="41"/>
      <c r="H1070" s="42"/>
      <c r="I1070" s="42"/>
      <c r="J1070" s="42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2"/>
      <c r="X1070" s="42"/>
      <c r="Y1070" s="42"/>
      <c r="Z1070" s="42"/>
      <c r="AA1070" s="42"/>
      <c r="AB1070" s="42"/>
      <c r="AC1070" s="36"/>
      <c r="AD1070" s="36"/>
      <c r="AE1070" s="36"/>
      <c r="AF1070" s="42"/>
      <c r="AG1070" s="36"/>
    </row>
    <row r="1071" spans="2:33" s="44" customFormat="1" x14ac:dyDescent="0.3">
      <c r="B1071" s="23"/>
      <c r="C1071" s="40"/>
      <c r="D1071" s="40"/>
      <c r="E1071" s="41"/>
      <c r="F1071" s="41"/>
      <c r="G1071" s="41"/>
      <c r="H1071" s="42"/>
      <c r="I1071" s="42"/>
      <c r="J1071" s="42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2"/>
      <c r="X1071" s="42"/>
      <c r="Y1071" s="42"/>
      <c r="Z1071" s="42"/>
      <c r="AA1071" s="42"/>
      <c r="AB1071" s="42"/>
      <c r="AC1071" s="36"/>
      <c r="AD1071" s="36"/>
      <c r="AE1071" s="36"/>
      <c r="AF1071" s="42"/>
      <c r="AG1071" s="36"/>
    </row>
    <row r="1072" spans="2:33" s="44" customFormat="1" x14ac:dyDescent="0.3">
      <c r="B1072" s="23"/>
      <c r="C1072" s="40"/>
      <c r="D1072" s="40"/>
      <c r="E1072" s="41"/>
      <c r="F1072" s="41"/>
      <c r="G1072" s="41"/>
      <c r="H1072" s="42"/>
      <c r="I1072" s="42"/>
      <c r="J1072" s="42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2"/>
      <c r="X1072" s="42"/>
      <c r="Y1072" s="42"/>
      <c r="Z1072" s="42"/>
      <c r="AA1072" s="42"/>
      <c r="AB1072" s="42"/>
      <c r="AC1072" s="36"/>
      <c r="AD1072" s="36"/>
      <c r="AE1072" s="36"/>
      <c r="AF1072" s="42"/>
      <c r="AG1072" s="36"/>
    </row>
    <row r="1073" spans="2:33" s="44" customFormat="1" x14ac:dyDescent="0.3">
      <c r="B1073" s="23"/>
      <c r="C1073" s="40"/>
      <c r="D1073" s="40"/>
      <c r="E1073" s="41"/>
      <c r="F1073" s="41"/>
      <c r="G1073" s="41"/>
      <c r="H1073" s="42"/>
      <c r="I1073" s="42"/>
      <c r="J1073" s="42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2"/>
      <c r="X1073" s="42"/>
      <c r="Y1073" s="42"/>
      <c r="Z1073" s="42"/>
      <c r="AA1073" s="42"/>
      <c r="AB1073" s="42"/>
      <c r="AC1073" s="36"/>
      <c r="AD1073" s="36"/>
      <c r="AE1073" s="36"/>
      <c r="AF1073" s="42"/>
      <c r="AG1073" s="36"/>
    </row>
    <row r="1074" spans="2:33" s="44" customFormat="1" x14ac:dyDescent="0.3">
      <c r="B1074" s="23"/>
      <c r="C1074" s="40"/>
      <c r="D1074" s="40"/>
      <c r="E1074" s="41"/>
      <c r="F1074" s="41"/>
      <c r="G1074" s="41"/>
      <c r="H1074" s="42"/>
      <c r="I1074" s="42"/>
      <c r="J1074" s="42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2"/>
      <c r="X1074" s="42"/>
      <c r="Y1074" s="42"/>
      <c r="Z1074" s="42"/>
      <c r="AA1074" s="42"/>
      <c r="AB1074" s="42"/>
      <c r="AC1074" s="36"/>
      <c r="AD1074" s="36"/>
      <c r="AE1074" s="36"/>
      <c r="AF1074" s="42"/>
      <c r="AG1074" s="36"/>
    </row>
    <row r="1075" spans="2:33" s="44" customFormat="1" x14ac:dyDescent="0.3">
      <c r="B1075" s="23"/>
      <c r="C1075" s="40"/>
      <c r="D1075" s="40"/>
      <c r="E1075" s="41"/>
      <c r="F1075" s="41"/>
      <c r="G1075" s="41"/>
      <c r="H1075" s="42"/>
      <c r="I1075" s="42"/>
      <c r="J1075" s="42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2"/>
      <c r="X1075" s="42"/>
      <c r="Y1075" s="42"/>
      <c r="Z1075" s="42"/>
      <c r="AA1075" s="42"/>
      <c r="AB1075" s="42"/>
      <c r="AC1075" s="36"/>
      <c r="AD1075" s="36"/>
      <c r="AE1075" s="36"/>
      <c r="AF1075" s="42"/>
      <c r="AG1075" s="36"/>
    </row>
    <row r="1076" spans="2:33" s="44" customFormat="1" x14ac:dyDescent="0.3">
      <c r="B1076" s="23"/>
      <c r="C1076" s="40"/>
      <c r="D1076" s="40"/>
      <c r="E1076" s="41"/>
      <c r="F1076" s="41"/>
      <c r="G1076" s="41"/>
      <c r="H1076" s="42"/>
      <c r="I1076" s="42"/>
      <c r="J1076" s="42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2"/>
      <c r="X1076" s="42"/>
      <c r="Y1076" s="42"/>
      <c r="Z1076" s="42"/>
      <c r="AA1076" s="42"/>
      <c r="AB1076" s="42"/>
      <c r="AC1076" s="36"/>
      <c r="AD1076" s="36"/>
      <c r="AE1076" s="36"/>
      <c r="AF1076" s="42"/>
      <c r="AG1076" s="36"/>
    </row>
    <row r="1077" spans="2:33" s="44" customFormat="1" x14ac:dyDescent="0.3">
      <c r="B1077" s="23"/>
      <c r="C1077" s="40"/>
      <c r="D1077" s="40"/>
      <c r="E1077" s="41"/>
      <c r="F1077" s="41"/>
      <c r="G1077" s="41"/>
      <c r="H1077" s="42"/>
      <c r="I1077" s="42"/>
      <c r="J1077" s="42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2"/>
      <c r="X1077" s="42"/>
      <c r="Y1077" s="42"/>
      <c r="Z1077" s="42"/>
      <c r="AA1077" s="42"/>
      <c r="AB1077" s="42"/>
      <c r="AC1077" s="36"/>
      <c r="AD1077" s="36"/>
      <c r="AE1077" s="36"/>
      <c r="AF1077" s="42"/>
      <c r="AG1077" s="36"/>
    </row>
    <row r="1078" spans="2:33" s="44" customFormat="1" x14ac:dyDescent="0.3">
      <c r="B1078" s="23"/>
      <c r="C1078" s="40"/>
      <c r="D1078" s="40"/>
      <c r="E1078" s="41"/>
      <c r="F1078" s="41"/>
      <c r="G1078" s="41"/>
      <c r="H1078" s="42"/>
      <c r="I1078" s="42"/>
      <c r="J1078" s="42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2"/>
      <c r="X1078" s="42"/>
      <c r="Y1078" s="42"/>
      <c r="Z1078" s="42"/>
      <c r="AA1078" s="42"/>
      <c r="AB1078" s="42"/>
      <c r="AC1078" s="36"/>
      <c r="AD1078" s="36"/>
      <c r="AE1078" s="36"/>
      <c r="AF1078" s="42"/>
      <c r="AG1078" s="36"/>
    </row>
    <row r="1079" spans="2:33" s="44" customFormat="1" x14ac:dyDescent="0.3">
      <c r="B1079" s="23"/>
      <c r="C1079" s="40"/>
      <c r="D1079" s="40"/>
      <c r="E1079" s="41"/>
      <c r="F1079" s="41"/>
      <c r="G1079" s="41"/>
      <c r="H1079" s="42"/>
      <c r="I1079" s="42"/>
      <c r="J1079" s="42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2"/>
      <c r="X1079" s="42"/>
      <c r="Y1079" s="42"/>
      <c r="Z1079" s="42"/>
      <c r="AA1079" s="42"/>
      <c r="AB1079" s="42"/>
      <c r="AC1079" s="36"/>
      <c r="AD1079" s="36"/>
      <c r="AE1079" s="36"/>
      <c r="AF1079" s="42"/>
      <c r="AG1079" s="36"/>
    </row>
    <row r="1080" spans="2:33" s="44" customFormat="1" x14ac:dyDescent="0.3">
      <c r="B1080" s="23"/>
      <c r="C1080" s="40"/>
      <c r="D1080" s="40"/>
      <c r="E1080" s="41"/>
      <c r="F1080" s="41"/>
      <c r="G1080" s="41"/>
      <c r="H1080" s="42"/>
      <c r="I1080" s="42"/>
      <c r="J1080" s="42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2"/>
      <c r="X1080" s="42"/>
      <c r="Y1080" s="42"/>
      <c r="Z1080" s="42"/>
      <c r="AA1080" s="42"/>
      <c r="AB1080" s="42"/>
      <c r="AC1080" s="36"/>
      <c r="AD1080" s="36"/>
      <c r="AE1080" s="36"/>
      <c r="AF1080" s="42"/>
      <c r="AG1080" s="36"/>
    </row>
    <row r="1081" spans="2:33" s="44" customFormat="1" x14ac:dyDescent="0.3">
      <c r="B1081" s="23"/>
      <c r="C1081" s="40"/>
      <c r="D1081" s="40"/>
      <c r="E1081" s="41"/>
      <c r="F1081" s="41"/>
      <c r="G1081" s="41"/>
      <c r="H1081" s="42"/>
      <c r="I1081" s="42"/>
      <c r="J1081" s="42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2"/>
      <c r="X1081" s="42"/>
      <c r="Y1081" s="42"/>
      <c r="Z1081" s="42"/>
      <c r="AA1081" s="42"/>
      <c r="AB1081" s="42"/>
      <c r="AC1081" s="36"/>
      <c r="AD1081" s="36"/>
      <c r="AE1081" s="36"/>
      <c r="AF1081" s="42"/>
      <c r="AG1081" s="36"/>
    </row>
    <row r="1082" spans="2:33" s="44" customFormat="1" x14ac:dyDescent="0.3">
      <c r="B1082" s="23"/>
      <c r="C1082" s="40"/>
      <c r="D1082" s="40"/>
      <c r="E1082" s="41"/>
      <c r="F1082" s="41"/>
      <c r="G1082" s="41"/>
      <c r="H1082" s="42"/>
      <c r="I1082" s="42"/>
      <c r="J1082" s="42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2"/>
      <c r="X1082" s="42"/>
      <c r="Y1082" s="42"/>
      <c r="Z1082" s="42"/>
      <c r="AA1082" s="42"/>
      <c r="AB1082" s="42"/>
      <c r="AC1082" s="36"/>
      <c r="AD1082" s="36"/>
      <c r="AE1082" s="36"/>
      <c r="AF1082" s="42"/>
      <c r="AG1082" s="36"/>
    </row>
    <row r="1083" spans="2:33" s="44" customFormat="1" x14ac:dyDescent="0.3">
      <c r="B1083" s="23"/>
      <c r="C1083" s="40"/>
      <c r="D1083" s="40"/>
      <c r="E1083" s="41"/>
      <c r="F1083" s="41"/>
      <c r="G1083" s="41"/>
      <c r="H1083" s="42"/>
      <c r="I1083" s="42"/>
      <c r="J1083" s="42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2"/>
      <c r="X1083" s="42"/>
      <c r="Y1083" s="42"/>
      <c r="Z1083" s="42"/>
      <c r="AA1083" s="42"/>
      <c r="AB1083" s="42"/>
      <c r="AC1083" s="36"/>
      <c r="AD1083" s="36"/>
      <c r="AE1083" s="36"/>
      <c r="AF1083" s="42"/>
      <c r="AG1083" s="36"/>
    </row>
    <row r="1084" spans="2:33" s="44" customFormat="1" x14ac:dyDescent="0.3">
      <c r="B1084" s="23"/>
      <c r="C1084" s="40"/>
      <c r="D1084" s="40"/>
      <c r="E1084" s="41"/>
      <c r="F1084" s="41"/>
      <c r="G1084" s="41"/>
      <c r="H1084" s="42"/>
      <c r="I1084" s="42"/>
      <c r="J1084" s="42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2"/>
      <c r="X1084" s="42"/>
      <c r="Y1084" s="42"/>
      <c r="Z1084" s="42"/>
      <c r="AA1084" s="42"/>
      <c r="AB1084" s="42"/>
      <c r="AC1084" s="36"/>
      <c r="AD1084" s="36"/>
      <c r="AE1084" s="36"/>
      <c r="AF1084" s="42"/>
      <c r="AG1084" s="36"/>
    </row>
    <row r="1085" spans="2:33" s="44" customFormat="1" x14ac:dyDescent="0.3">
      <c r="B1085" s="23"/>
      <c r="C1085" s="40"/>
      <c r="D1085" s="40"/>
      <c r="E1085" s="41"/>
      <c r="F1085" s="41"/>
      <c r="G1085" s="41"/>
      <c r="H1085" s="42"/>
      <c r="I1085" s="42"/>
      <c r="J1085" s="42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2"/>
      <c r="X1085" s="42"/>
      <c r="Y1085" s="42"/>
      <c r="Z1085" s="42"/>
      <c r="AA1085" s="42"/>
      <c r="AB1085" s="42"/>
      <c r="AC1085" s="36"/>
      <c r="AD1085" s="36"/>
      <c r="AE1085" s="36"/>
      <c r="AF1085" s="42"/>
      <c r="AG1085" s="36"/>
    </row>
    <row r="1086" spans="2:33" s="44" customFormat="1" x14ac:dyDescent="0.3">
      <c r="B1086" s="23"/>
      <c r="C1086" s="40"/>
      <c r="D1086" s="40"/>
      <c r="E1086" s="41"/>
      <c r="F1086" s="41"/>
      <c r="G1086" s="41"/>
      <c r="H1086" s="42"/>
      <c r="I1086" s="42"/>
      <c r="J1086" s="42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2"/>
      <c r="X1086" s="42"/>
      <c r="Y1086" s="42"/>
      <c r="Z1086" s="42"/>
      <c r="AA1086" s="42"/>
      <c r="AB1086" s="42"/>
      <c r="AC1086" s="36"/>
      <c r="AD1086" s="36"/>
      <c r="AE1086" s="36"/>
      <c r="AF1086" s="42"/>
      <c r="AG1086" s="36"/>
    </row>
    <row r="1087" spans="2:33" s="44" customFormat="1" x14ac:dyDescent="0.3">
      <c r="B1087" s="23"/>
      <c r="C1087" s="40"/>
      <c r="D1087" s="40"/>
      <c r="E1087" s="41"/>
      <c r="F1087" s="41"/>
      <c r="G1087" s="41"/>
      <c r="H1087" s="42"/>
      <c r="I1087" s="42"/>
      <c r="J1087" s="42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2"/>
      <c r="X1087" s="42"/>
      <c r="Y1087" s="42"/>
      <c r="Z1087" s="42"/>
      <c r="AA1087" s="42"/>
      <c r="AB1087" s="42"/>
      <c r="AC1087" s="36"/>
      <c r="AD1087" s="36"/>
      <c r="AE1087" s="36"/>
      <c r="AF1087" s="42"/>
      <c r="AG1087" s="36"/>
    </row>
    <row r="1088" spans="2:33" s="44" customFormat="1" x14ac:dyDescent="0.3">
      <c r="B1088" s="23"/>
      <c r="C1088" s="40"/>
      <c r="D1088" s="40"/>
      <c r="E1088" s="41"/>
      <c r="F1088" s="41"/>
      <c r="G1088" s="41"/>
      <c r="H1088" s="42"/>
      <c r="I1088" s="42"/>
      <c r="J1088" s="42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2"/>
      <c r="X1088" s="42"/>
      <c r="Y1088" s="42"/>
      <c r="Z1088" s="42"/>
      <c r="AA1088" s="42"/>
      <c r="AB1088" s="42"/>
      <c r="AC1088" s="36"/>
      <c r="AD1088" s="36"/>
      <c r="AE1088" s="36"/>
      <c r="AF1088" s="42"/>
      <c r="AG1088" s="36"/>
    </row>
    <row r="1089" spans="1:33" s="44" customFormat="1" x14ac:dyDescent="0.3">
      <c r="B1089" s="23"/>
      <c r="C1089" s="40"/>
      <c r="D1089" s="40"/>
      <c r="E1089" s="41"/>
      <c r="F1089" s="41"/>
      <c r="G1089" s="41"/>
      <c r="H1089" s="42"/>
      <c r="I1089" s="42"/>
      <c r="J1089" s="42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2"/>
      <c r="X1089" s="42"/>
      <c r="Y1089" s="42"/>
      <c r="Z1089" s="42"/>
      <c r="AA1089" s="42"/>
      <c r="AB1089" s="42"/>
      <c r="AC1089" s="36"/>
      <c r="AD1089" s="36"/>
      <c r="AE1089" s="36"/>
      <c r="AF1089" s="42"/>
      <c r="AG1089" s="36"/>
    </row>
    <row r="1090" spans="1:33" s="44" customFormat="1" x14ac:dyDescent="0.3">
      <c r="B1090" s="23"/>
      <c r="C1090" s="40"/>
      <c r="D1090" s="40"/>
      <c r="E1090" s="41"/>
      <c r="F1090" s="41"/>
      <c r="G1090" s="41"/>
      <c r="H1090" s="42"/>
      <c r="I1090" s="42"/>
      <c r="J1090" s="42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2"/>
      <c r="X1090" s="42"/>
      <c r="Y1090" s="42"/>
      <c r="Z1090" s="42"/>
      <c r="AA1090" s="42"/>
      <c r="AB1090" s="42"/>
      <c r="AC1090" s="36"/>
      <c r="AD1090" s="36"/>
      <c r="AE1090" s="36"/>
      <c r="AF1090" s="42"/>
      <c r="AG1090" s="36"/>
    </row>
    <row r="1091" spans="1:33" s="44" customFormat="1" x14ac:dyDescent="0.3">
      <c r="B1091" s="23"/>
      <c r="C1091" s="40"/>
      <c r="D1091" s="40"/>
      <c r="E1091" s="41"/>
      <c r="F1091" s="41"/>
      <c r="G1091" s="41"/>
      <c r="H1091" s="42"/>
      <c r="I1091" s="42"/>
      <c r="J1091" s="42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2"/>
      <c r="X1091" s="42"/>
      <c r="Y1091" s="42"/>
      <c r="Z1091" s="42"/>
      <c r="AA1091" s="42"/>
      <c r="AB1091" s="42"/>
      <c r="AC1091" s="36"/>
      <c r="AD1091" s="36"/>
      <c r="AE1091" s="36"/>
      <c r="AF1091" s="42"/>
      <c r="AG1091" s="36"/>
    </row>
    <row r="1092" spans="1:33" s="44" customFormat="1" x14ac:dyDescent="0.3">
      <c r="B1092" s="23"/>
      <c r="C1092" s="40"/>
      <c r="D1092" s="40"/>
      <c r="E1092" s="41"/>
      <c r="F1092" s="41"/>
      <c r="G1092" s="41"/>
      <c r="H1092" s="42"/>
      <c r="I1092" s="42"/>
      <c r="J1092" s="42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2"/>
      <c r="X1092" s="42"/>
      <c r="Y1092" s="42"/>
      <c r="Z1092" s="42"/>
      <c r="AA1092" s="42"/>
      <c r="AB1092" s="42"/>
      <c r="AC1092" s="36"/>
      <c r="AD1092" s="36"/>
      <c r="AE1092" s="36"/>
      <c r="AF1092" s="42"/>
      <c r="AG1092" s="36"/>
    </row>
    <row r="1093" spans="1:33" s="44" customFormat="1" x14ac:dyDescent="0.3">
      <c r="B1093" s="23"/>
      <c r="C1093" s="40"/>
      <c r="D1093" s="40"/>
      <c r="E1093" s="41"/>
      <c r="F1093" s="41"/>
      <c r="G1093" s="41"/>
      <c r="H1093" s="42"/>
      <c r="I1093" s="42"/>
      <c r="J1093" s="42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2"/>
      <c r="X1093" s="42"/>
      <c r="Y1093" s="42"/>
      <c r="Z1093" s="42"/>
      <c r="AA1093" s="42"/>
      <c r="AB1093" s="42"/>
      <c r="AC1093" s="36"/>
      <c r="AD1093" s="36"/>
      <c r="AE1093" s="36"/>
      <c r="AF1093" s="42"/>
      <c r="AG1093" s="36"/>
    </row>
    <row r="1094" spans="1:33" s="44" customFormat="1" x14ac:dyDescent="0.3">
      <c r="B1094" s="23"/>
      <c r="C1094" s="40"/>
      <c r="D1094" s="40"/>
      <c r="E1094" s="41"/>
      <c r="F1094" s="41"/>
      <c r="G1094" s="41"/>
      <c r="H1094" s="42"/>
      <c r="I1094" s="42"/>
      <c r="J1094" s="42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2"/>
      <c r="X1094" s="42"/>
      <c r="Y1094" s="42"/>
      <c r="Z1094" s="42"/>
      <c r="AA1094" s="42"/>
      <c r="AB1094" s="42"/>
      <c r="AC1094" s="36"/>
      <c r="AD1094" s="36"/>
      <c r="AE1094" s="36"/>
      <c r="AF1094" s="42"/>
      <c r="AG1094" s="36"/>
    </row>
    <row r="1095" spans="1:33" s="44" customFormat="1" x14ac:dyDescent="0.3">
      <c r="B1095" s="23"/>
      <c r="C1095" s="40"/>
      <c r="D1095" s="40"/>
      <c r="E1095" s="41"/>
      <c r="F1095" s="41"/>
      <c r="G1095" s="41"/>
      <c r="H1095" s="42"/>
      <c r="I1095" s="42"/>
      <c r="J1095" s="42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2"/>
      <c r="X1095" s="42"/>
      <c r="Y1095" s="42"/>
      <c r="Z1095" s="42"/>
      <c r="AA1095" s="42"/>
      <c r="AB1095" s="42"/>
      <c r="AC1095" s="36"/>
      <c r="AD1095" s="36"/>
      <c r="AE1095" s="36"/>
      <c r="AF1095" s="42"/>
      <c r="AG1095" s="36"/>
    </row>
    <row r="1096" spans="1:33" s="44" customFormat="1" x14ac:dyDescent="0.3">
      <c r="B1096" s="23"/>
      <c r="C1096" s="40"/>
      <c r="D1096" s="40"/>
      <c r="E1096" s="41"/>
      <c r="F1096" s="41"/>
      <c r="G1096" s="41"/>
      <c r="H1096" s="42"/>
      <c r="I1096" s="42"/>
      <c r="J1096" s="42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2"/>
      <c r="X1096" s="42"/>
      <c r="Y1096" s="42"/>
      <c r="Z1096" s="42"/>
      <c r="AA1096" s="42"/>
      <c r="AB1096" s="42"/>
      <c r="AC1096" s="36"/>
      <c r="AD1096" s="36"/>
      <c r="AE1096" s="36"/>
      <c r="AF1096" s="42"/>
      <c r="AG1096" s="36"/>
    </row>
    <row r="1097" spans="1:33" s="44" customFormat="1" x14ac:dyDescent="0.3">
      <c r="B1097" s="23"/>
      <c r="C1097" s="40"/>
      <c r="D1097" s="40"/>
      <c r="E1097" s="41"/>
      <c r="F1097" s="41"/>
      <c r="G1097" s="41"/>
      <c r="H1097" s="42"/>
      <c r="I1097" s="42"/>
      <c r="J1097" s="42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2"/>
      <c r="X1097" s="42"/>
      <c r="Y1097" s="42"/>
      <c r="Z1097" s="42"/>
      <c r="AA1097" s="42"/>
      <c r="AB1097" s="42"/>
      <c r="AC1097" s="36"/>
      <c r="AD1097" s="36"/>
      <c r="AE1097" s="36"/>
      <c r="AF1097" s="42"/>
      <c r="AG1097" s="36"/>
    </row>
    <row r="1098" spans="1:33" s="44" customFormat="1" x14ac:dyDescent="0.3">
      <c r="B1098" s="23"/>
      <c r="C1098" s="40"/>
      <c r="D1098" s="40"/>
      <c r="E1098" s="41"/>
      <c r="F1098" s="41"/>
      <c r="G1098" s="41"/>
      <c r="H1098" s="42"/>
      <c r="I1098" s="42"/>
      <c r="J1098" s="42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2"/>
      <c r="X1098" s="42"/>
      <c r="Y1098" s="42"/>
      <c r="Z1098" s="42"/>
      <c r="AA1098" s="42"/>
      <c r="AB1098" s="42"/>
      <c r="AC1098" s="36"/>
      <c r="AD1098" s="36"/>
      <c r="AE1098" s="36"/>
      <c r="AF1098" s="42"/>
      <c r="AG1098" s="36"/>
    </row>
    <row r="1099" spans="1:33" s="44" customFormat="1" x14ac:dyDescent="0.3">
      <c r="B1099" s="23"/>
      <c r="C1099" s="40"/>
      <c r="D1099" s="40"/>
      <c r="E1099" s="41"/>
      <c r="F1099" s="41"/>
      <c r="G1099" s="41"/>
      <c r="H1099" s="42"/>
      <c r="I1099" s="42"/>
      <c r="J1099" s="42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2"/>
      <c r="X1099" s="42"/>
      <c r="Y1099" s="42"/>
      <c r="Z1099" s="42"/>
      <c r="AA1099" s="42"/>
      <c r="AB1099" s="42"/>
      <c r="AC1099" s="36"/>
      <c r="AD1099" s="36"/>
      <c r="AE1099" s="36"/>
      <c r="AF1099" s="42"/>
      <c r="AG1099" s="36"/>
    </row>
    <row r="1100" spans="1:33" s="44" customFormat="1" x14ac:dyDescent="0.3">
      <c r="B1100" s="23"/>
      <c r="C1100" s="40"/>
      <c r="D1100" s="40"/>
      <c r="E1100" s="41"/>
      <c r="F1100" s="41"/>
      <c r="G1100" s="41"/>
      <c r="H1100" s="42"/>
      <c r="I1100" s="42"/>
      <c r="J1100" s="42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2"/>
      <c r="X1100" s="42"/>
      <c r="Y1100" s="42"/>
      <c r="Z1100" s="42"/>
      <c r="AA1100" s="42"/>
      <c r="AB1100" s="42"/>
      <c r="AC1100" s="36"/>
      <c r="AD1100" s="36"/>
      <c r="AE1100" s="36"/>
      <c r="AF1100" s="42"/>
      <c r="AG1100" s="36"/>
    </row>
    <row r="1101" spans="1:33" s="44" customFormat="1" x14ac:dyDescent="0.3">
      <c r="B1101" s="23"/>
      <c r="C1101" s="40"/>
      <c r="D1101" s="40"/>
      <c r="E1101" s="41"/>
      <c r="F1101" s="41"/>
      <c r="G1101" s="41"/>
      <c r="H1101" s="42"/>
      <c r="I1101" s="42"/>
      <c r="J1101" s="42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2"/>
      <c r="X1101" s="42"/>
      <c r="Y1101" s="42"/>
      <c r="Z1101" s="42"/>
      <c r="AA1101" s="42"/>
      <c r="AB1101" s="42"/>
      <c r="AC1101" s="36"/>
      <c r="AD1101" s="36"/>
      <c r="AE1101" s="36"/>
      <c r="AF1101" s="42"/>
      <c r="AG1101" s="36"/>
    </row>
    <row r="1102" spans="1:33" s="44" customFormat="1" x14ac:dyDescent="0.3">
      <c r="B1102" s="23"/>
      <c r="C1102" s="40"/>
      <c r="D1102" s="40"/>
      <c r="E1102" s="41"/>
      <c r="F1102" s="41"/>
      <c r="G1102" s="41"/>
      <c r="H1102" s="42"/>
      <c r="I1102" s="42"/>
      <c r="J1102" s="42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2"/>
      <c r="X1102" s="42"/>
      <c r="Y1102" s="42"/>
      <c r="Z1102" s="42"/>
      <c r="AA1102" s="42"/>
      <c r="AB1102" s="42"/>
      <c r="AC1102" s="36"/>
      <c r="AD1102" s="36"/>
      <c r="AE1102" s="36"/>
      <c r="AF1102" s="42"/>
      <c r="AG1102" s="36"/>
    </row>
    <row r="1103" spans="1:33" s="44" customFormat="1" x14ac:dyDescent="0.3">
      <c r="B1103" s="23"/>
      <c r="C1103" s="40"/>
      <c r="D1103" s="40"/>
      <c r="E1103" s="41"/>
      <c r="F1103" s="41"/>
      <c r="G1103" s="41"/>
      <c r="H1103" s="42"/>
      <c r="I1103" s="42"/>
      <c r="J1103" s="42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2"/>
      <c r="X1103" s="42"/>
      <c r="Y1103" s="42"/>
      <c r="Z1103" s="42"/>
      <c r="AA1103" s="42"/>
      <c r="AB1103" s="42"/>
      <c r="AC1103" s="36"/>
      <c r="AD1103" s="36"/>
      <c r="AE1103" s="36"/>
      <c r="AF1103" s="42"/>
      <c r="AG1103" s="36"/>
    </row>
    <row r="1104" spans="1:33" s="44" customFormat="1" x14ac:dyDescent="0.3">
      <c r="A1104" s="34"/>
      <c r="B1104" s="40"/>
      <c r="C1104" s="40"/>
      <c r="D1104" s="40"/>
      <c r="E1104" s="41"/>
      <c r="F1104" s="41"/>
      <c r="G1104" s="41"/>
      <c r="H1104" s="42"/>
      <c r="I1104" s="42"/>
      <c r="J1104" s="42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2"/>
      <c r="X1104" s="42"/>
      <c r="Y1104" s="42"/>
      <c r="Z1104" s="42"/>
      <c r="AA1104" s="42"/>
      <c r="AB1104" s="42"/>
      <c r="AC1104" s="36"/>
      <c r="AD1104" s="36"/>
      <c r="AE1104" s="36"/>
      <c r="AF1104" s="42"/>
      <c r="AG1104" s="36"/>
    </row>
  </sheetData>
  <autoFilter ref="A2:AJ2" xr:uid="{053E6D0B-9E01-4484-8758-0E93695A87D4}"/>
  <dataValidations count="5">
    <dataValidation type="list" allowBlank="1" showInputMessage="1" showErrorMessage="1" prompt="Enter 1 for gas handler" sqref="AH5:AH117" xr:uid="{D4F63CA9-4B8A-4E8D-8A06-46E288212DB9}">
      <formula1>$A$1000:$A$1001</formula1>
    </dataValidation>
    <dataValidation type="list" allowBlank="1" showInputMessage="1" showErrorMessage="1" prompt="Enter 1 for obsolete" sqref="AG5:AG117 AF118:AF149 AG179:AG1103 AF152:AF162 AF164:AF178" xr:uid="{6AE47EA0-4762-42E9-B62C-07E716141A03}">
      <formula1>$A$1000:$A$1001</formula1>
    </dataValidation>
    <dataValidation allowBlank="1" showInputMessage="1" showErrorMessage="1" promptTitle="Important Notice:" prompt="If a manufacturer is not the SubPUMP databank, this field is required. The available manufacturers within SubPUMP can be found in the drop down list in the manufacturer field (Column B)." sqref="W39 W82:W97 W7:W34 W42:W77 W79:W80 W99:W100 W103:W117" xr:uid="{3ABA8888-4F6D-4392-92AF-AB8BE0A86DDD}"/>
    <dataValidation allowBlank="1" showInputMessage="1" showErrorMessage="1" promptTitle="Important Notice:" prompt="-------_x000a_If a manufacturer is not in SubPUMP databank, this field is required._x000a_-------_x000a_Manufacturers in SubPUMP:_x000a_Almaz, Alnas, Borets, CAI, Centrilift/ODI or CLift, ESP, Lemaz, Novomet, Novo, ODI, Schlumberger/Reda or Reda, Weatherford or Wford, WSP" sqref="W179:W1103 V175:V178 V118:V149 W159 V152:V158 W162 V161:V162 V164:V173" xr:uid="{9A547A56-E420-4C2C-BE7C-866904004891}"/>
    <dataValidation type="list" allowBlank="1" showInputMessage="1" promptTitle="Manufacturer Name" prompt="Select a manufacturer from the list, or enter a new manufacturer using a short name" sqref="B179:B1103 A153 A155:A160 A162 A164:A178" xr:uid="{730E29A7-E193-4760-8A9E-D7881A70E46B}">
      <formula1>$A$1009:$A$1021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685C-2EB8-41AB-A6F6-39B25D30911C}">
  <dimension ref="A1:AJ293"/>
  <sheetViews>
    <sheetView topLeftCell="A173" workbookViewId="0">
      <selection activeCell="C137" sqref="C137"/>
    </sheetView>
  </sheetViews>
  <sheetFormatPr baseColWidth="10" defaultColWidth="8.88671875" defaultRowHeight="14.4" x14ac:dyDescent="0.3"/>
  <cols>
    <col min="1" max="1" width="12.5546875" bestFit="1" customWidth="1"/>
    <col min="2" max="2" width="8.88671875" style="114"/>
    <col min="3" max="3" width="23.44140625" customWidth="1"/>
    <col min="4" max="4" width="12.6640625" bestFit="1" customWidth="1"/>
    <col min="5" max="5" width="13.33203125" bestFit="1" customWidth="1"/>
    <col min="6" max="7" width="17.44140625" bestFit="1" customWidth="1"/>
    <col min="9" max="10" width="9.44140625" bestFit="1" customWidth="1"/>
    <col min="12" max="12" width="9.44140625" bestFit="1" customWidth="1"/>
    <col min="14" max="16" width="11.88671875" bestFit="1" customWidth="1"/>
    <col min="17" max="17" width="12.44140625" bestFit="1" customWidth="1"/>
    <col min="18" max="18" width="11.88671875" bestFit="1" customWidth="1"/>
    <col min="19" max="19" width="12.44140625" bestFit="1" customWidth="1"/>
    <col min="21" max="25" width="9.44140625" bestFit="1" customWidth="1"/>
    <col min="27" max="31" width="9.44140625" bestFit="1" customWidth="1"/>
    <col min="35" max="35" width="13" bestFit="1" customWidth="1"/>
  </cols>
  <sheetData>
    <row r="1" spans="1:36" ht="15.6" x14ac:dyDescent="0.3">
      <c r="A1" s="128" t="s">
        <v>178</v>
      </c>
      <c r="B1" s="128"/>
      <c r="C1" s="128"/>
      <c r="D1" s="128"/>
      <c r="E1" s="128"/>
      <c r="F1" s="128"/>
      <c r="G1" s="128"/>
      <c r="H1" s="129" t="s">
        <v>179</v>
      </c>
      <c r="I1" s="129"/>
      <c r="J1" s="129"/>
      <c r="K1" s="129"/>
      <c r="L1" s="129"/>
      <c r="M1" s="129"/>
      <c r="N1" s="130" t="s">
        <v>180</v>
      </c>
      <c r="O1" s="130"/>
      <c r="P1" s="130"/>
      <c r="Q1" s="130"/>
      <c r="R1" s="130"/>
      <c r="S1" s="130"/>
      <c r="T1" s="129" t="s">
        <v>181</v>
      </c>
      <c r="U1" s="129"/>
      <c r="V1" s="129"/>
      <c r="W1" s="129"/>
      <c r="X1" s="129"/>
      <c r="Y1" s="129"/>
      <c r="Z1" s="130" t="s">
        <v>182</v>
      </c>
      <c r="AA1" s="130"/>
      <c r="AB1" s="130"/>
      <c r="AC1" s="130"/>
      <c r="AD1" s="130"/>
      <c r="AE1" s="130"/>
      <c r="AF1" s="127" t="s">
        <v>183</v>
      </c>
      <c r="AG1" s="127"/>
      <c r="AH1" s="127"/>
      <c r="AI1" s="127"/>
      <c r="AJ1" s="127"/>
    </row>
    <row r="2" spans="1:36" x14ac:dyDescent="0.3">
      <c r="A2" s="55" t="s">
        <v>7</v>
      </c>
      <c r="B2" s="108" t="s">
        <v>8</v>
      </c>
      <c r="C2" s="55" t="s">
        <v>184</v>
      </c>
      <c r="D2" s="55" t="s">
        <v>185</v>
      </c>
      <c r="E2" s="55" t="s">
        <v>186</v>
      </c>
      <c r="F2" s="55" t="s">
        <v>187</v>
      </c>
      <c r="G2" s="55" t="s">
        <v>188</v>
      </c>
      <c r="H2" s="55" t="s">
        <v>189</v>
      </c>
      <c r="I2" s="55" t="s">
        <v>190</v>
      </c>
      <c r="J2" s="55" t="s">
        <v>191</v>
      </c>
      <c r="K2" s="55" t="s">
        <v>192</v>
      </c>
      <c r="L2" s="55" t="s">
        <v>193</v>
      </c>
      <c r="M2" s="55" t="s">
        <v>194</v>
      </c>
      <c r="N2" s="55" t="s">
        <v>195</v>
      </c>
      <c r="O2" s="55" t="s">
        <v>196</v>
      </c>
      <c r="P2" s="55" t="s">
        <v>197</v>
      </c>
      <c r="Q2" s="55" t="s">
        <v>198</v>
      </c>
      <c r="R2" s="55" t="s">
        <v>199</v>
      </c>
      <c r="S2" s="55" t="s">
        <v>200</v>
      </c>
      <c r="T2" s="55" t="s">
        <v>23</v>
      </c>
      <c r="U2" s="55" t="s">
        <v>24</v>
      </c>
      <c r="V2" s="55" t="s">
        <v>25</v>
      </c>
      <c r="W2" s="55" t="s">
        <v>26</v>
      </c>
      <c r="X2" s="55" t="s">
        <v>27</v>
      </c>
      <c r="Y2" s="55" t="s">
        <v>28</v>
      </c>
      <c r="Z2" s="55" t="s">
        <v>201</v>
      </c>
      <c r="AA2" s="55" t="s">
        <v>202</v>
      </c>
      <c r="AB2" s="55" t="s">
        <v>203</v>
      </c>
      <c r="AC2" s="55" t="s">
        <v>204</v>
      </c>
      <c r="AD2" s="55" t="s">
        <v>205</v>
      </c>
      <c r="AE2" s="55" t="s">
        <v>206</v>
      </c>
      <c r="AF2" s="56" t="s">
        <v>207</v>
      </c>
      <c r="AG2" s="56" t="s">
        <v>208</v>
      </c>
      <c r="AH2" s="56" t="s">
        <v>209</v>
      </c>
      <c r="AI2" s="56" t="s">
        <v>210</v>
      </c>
      <c r="AJ2" s="56" t="s">
        <v>39</v>
      </c>
    </row>
    <row r="3" spans="1:36" x14ac:dyDescent="0.3">
      <c r="A3" s="67"/>
      <c r="B3" s="109"/>
      <c r="C3" s="67"/>
      <c r="D3" s="67" t="s">
        <v>45</v>
      </c>
      <c r="E3" s="67" t="s">
        <v>49</v>
      </c>
      <c r="F3" s="67" t="s">
        <v>211</v>
      </c>
      <c r="G3" s="67" t="s">
        <v>212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 t="s">
        <v>47</v>
      </c>
      <c r="AG3" s="67"/>
      <c r="AH3" s="67" t="s">
        <v>49</v>
      </c>
      <c r="AI3" s="67"/>
      <c r="AJ3" s="67"/>
    </row>
    <row r="4" spans="1:36" x14ac:dyDescent="0.3">
      <c r="A4" s="57" t="s">
        <v>59</v>
      </c>
      <c r="B4" s="110" t="s">
        <v>253</v>
      </c>
      <c r="C4" s="57" t="s">
        <v>254</v>
      </c>
      <c r="D4" s="58">
        <v>10.7</v>
      </c>
      <c r="E4" s="58">
        <v>26</v>
      </c>
      <c r="F4" s="58">
        <v>600</v>
      </c>
      <c r="G4" s="58">
        <v>29.5</v>
      </c>
      <c r="H4" s="59">
        <v>3600.0092278688476</v>
      </c>
      <c r="I4" s="59">
        <v>-174.68731537626968</v>
      </c>
      <c r="J4" s="59">
        <v>-44.916407840371946</v>
      </c>
      <c r="K4" s="59">
        <v>29.187158377052405</v>
      </c>
      <c r="L4" s="59">
        <v>-37.697661001717186</v>
      </c>
      <c r="M4" s="60">
        <v>12.003136380719448</v>
      </c>
      <c r="N4" s="58">
        <v>50.842464931037625</v>
      </c>
      <c r="O4" s="58">
        <v>41.545311734146729</v>
      </c>
      <c r="P4" s="58">
        <v>-172.44261108423976</v>
      </c>
      <c r="Q4" s="58">
        <v>436.3701016193076</v>
      </c>
      <c r="R4" s="58">
        <v>-357.67602572822386</v>
      </c>
      <c r="S4" s="58">
        <v>101.40633985722151</v>
      </c>
      <c r="T4" s="59">
        <v>11.595530783324453</v>
      </c>
      <c r="U4" s="59">
        <v>170.01282908511527</v>
      </c>
      <c r="V4" s="59">
        <v>-176.8159658645101</v>
      </c>
      <c r="W4" s="59">
        <v>123.18486403972092</v>
      </c>
      <c r="X4" s="60">
        <v>-65.536869095318394</v>
      </c>
      <c r="Y4" s="59">
        <v>17.608307800555007</v>
      </c>
      <c r="Z4" s="60">
        <v>2.5555780991055599E-3</v>
      </c>
      <c r="AA4" s="60">
        <v>497.78177466102085</v>
      </c>
      <c r="AB4" s="60">
        <v>-1270.8852851913211</v>
      </c>
      <c r="AC4" s="60">
        <v>1626.954021563216</v>
      </c>
      <c r="AD4" s="60">
        <v>-1024.720869106472</v>
      </c>
      <c r="AE4" s="60">
        <v>249.84450062467755</v>
      </c>
      <c r="AF4" s="58">
        <v>3.78</v>
      </c>
      <c r="AG4" s="58">
        <v>3600</v>
      </c>
      <c r="AH4" s="58"/>
      <c r="AI4" s="57"/>
      <c r="AJ4" s="58"/>
    </row>
    <row r="5" spans="1:36" x14ac:dyDescent="0.3">
      <c r="A5" s="57" t="s">
        <v>59</v>
      </c>
      <c r="B5" s="110" t="s">
        <v>253</v>
      </c>
      <c r="C5" s="57" t="s">
        <v>255</v>
      </c>
      <c r="D5" s="58">
        <v>14.3</v>
      </c>
      <c r="E5" s="58">
        <v>35</v>
      </c>
      <c r="F5" s="58">
        <v>840</v>
      </c>
      <c r="G5" s="57">
        <v>28.7</v>
      </c>
      <c r="H5" s="59">
        <v>3599.8927096829902</v>
      </c>
      <c r="I5" s="59">
        <v>-221.48891733075396</v>
      </c>
      <c r="J5" s="59">
        <v>131.87265500157142</v>
      </c>
      <c r="K5" s="59">
        <v>-318.92880677682018</v>
      </c>
      <c r="L5" s="59">
        <v>273.9460126074087</v>
      </c>
      <c r="M5" s="60">
        <v>-80.838749655755052</v>
      </c>
      <c r="N5" s="58">
        <v>52.963647751921819</v>
      </c>
      <c r="O5" s="58">
        <v>10.545829116265914</v>
      </c>
      <c r="P5" s="58">
        <v>38.065315155473556</v>
      </c>
      <c r="Q5" s="58">
        <v>18.430370271932045</v>
      </c>
      <c r="R5" s="58">
        <v>-42.169746417981074</v>
      </c>
      <c r="S5" s="58">
        <v>22.151071707473307</v>
      </c>
      <c r="T5" s="59">
        <v>12.021959652407194</v>
      </c>
      <c r="U5" s="59">
        <v>176.383376095448</v>
      </c>
      <c r="V5" s="59">
        <v>-261.54833627766692</v>
      </c>
      <c r="W5" s="59">
        <v>317.05546063976027</v>
      </c>
      <c r="X5" s="60">
        <v>-233.18265218013207</v>
      </c>
      <c r="Y5" s="59">
        <v>69.262279629247999</v>
      </c>
      <c r="Z5" s="60">
        <v>2.728985372910131E-2</v>
      </c>
      <c r="AA5" s="60">
        <v>443.35396276779011</v>
      </c>
      <c r="AB5" s="60">
        <v>-1040.865750349901</v>
      </c>
      <c r="AC5" s="60">
        <v>1279.9667135864133</v>
      </c>
      <c r="AD5" s="60">
        <v>-808.37577786366046</v>
      </c>
      <c r="AE5" s="60">
        <v>204.86305949281672</v>
      </c>
      <c r="AF5" s="58">
        <v>3.78</v>
      </c>
      <c r="AG5" s="58">
        <v>3600</v>
      </c>
      <c r="AH5" s="58"/>
      <c r="AI5" s="57"/>
      <c r="AJ5" s="58"/>
    </row>
    <row r="6" spans="1:36" x14ac:dyDescent="0.3">
      <c r="A6" s="57" t="s">
        <v>59</v>
      </c>
      <c r="B6" s="110" t="s">
        <v>253</v>
      </c>
      <c r="C6" s="57" t="s">
        <v>256</v>
      </c>
      <c r="D6" s="58">
        <v>19</v>
      </c>
      <c r="E6" s="58">
        <v>51</v>
      </c>
      <c r="F6" s="58">
        <v>1200</v>
      </c>
      <c r="G6" s="57">
        <v>29.2</v>
      </c>
      <c r="H6" s="59">
        <v>3600.0154586720223</v>
      </c>
      <c r="I6" s="59">
        <v>-291.21113413905971</v>
      </c>
      <c r="J6" s="59">
        <v>313.87961963493086</v>
      </c>
      <c r="K6" s="59">
        <v>-547.01723595223996</v>
      </c>
      <c r="L6" s="59">
        <v>432.44982443505586</v>
      </c>
      <c r="M6" s="60">
        <v>-124.03449000772065</v>
      </c>
      <c r="N6" s="58">
        <v>49.28169152656271</v>
      </c>
      <c r="O6" s="58">
        <v>25.066244501400202</v>
      </c>
      <c r="P6" s="58">
        <v>-41.760456442232993</v>
      </c>
      <c r="Q6" s="58">
        <v>230.04299600087836</v>
      </c>
      <c r="R6" s="58">
        <v>-267.1390565933134</v>
      </c>
      <c r="S6" s="58">
        <v>104.80665946366285</v>
      </c>
      <c r="T6" s="59">
        <v>10.008182797960234</v>
      </c>
      <c r="U6" s="59">
        <v>180.09909341625803</v>
      </c>
      <c r="V6" s="59">
        <v>-261.78757304982167</v>
      </c>
      <c r="W6" s="59">
        <v>306.2254753323536</v>
      </c>
      <c r="X6" s="60">
        <v>-217.93882916475417</v>
      </c>
      <c r="Y6" s="59">
        <v>63.326069304753119</v>
      </c>
      <c r="Z6" s="60">
        <v>5.2194035291478258E-2</v>
      </c>
      <c r="AA6" s="60">
        <v>544.64425659423989</v>
      </c>
      <c r="AB6" s="60">
        <v>-1623.8540654814267</v>
      </c>
      <c r="AC6" s="60">
        <v>2466.306579324953</v>
      </c>
      <c r="AD6" s="60">
        <v>-1837.2298442133999</v>
      </c>
      <c r="AE6" s="60">
        <v>528.79389578446342</v>
      </c>
      <c r="AF6" s="58">
        <v>3.78</v>
      </c>
      <c r="AG6" s="58">
        <v>3600</v>
      </c>
      <c r="AH6" s="58"/>
      <c r="AI6" s="57"/>
      <c r="AJ6" s="58"/>
    </row>
    <row r="7" spans="1:36" x14ac:dyDescent="0.3">
      <c r="A7" s="57" t="s">
        <v>59</v>
      </c>
      <c r="B7" s="110" t="s">
        <v>253</v>
      </c>
      <c r="C7" s="57" t="s">
        <v>257</v>
      </c>
      <c r="D7" s="58">
        <v>29.5</v>
      </c>
      <c r="E7" s="58">
        <v>72</v>
      </c>
      <c r="F7" s="58">
        <v>1740</v>
      </c>
      <c r="G7" s="58">
        <v>28</v>
      </c>
      <c r="H7" s="59">
        <v>3599.9870580090992</v>
      </c>
      <c r="I7" s="59">
        <v>-166.64178536577862</v>
      </c>
      <c r="J7" s="59">
        <v>-117.18539275998455</v>
      </c>
      <c r="K7" s="59">
        <v>82.863090837046627</v>
      </c>
      <c r="L7" s="59">
        <v>38.76540582041234</v>
      </c>
      <c r="M7" s="60">
        <v>-43.1789887319242</v>
      </c>
      <c r="N7" s="58">
        <v>50.707354275550138</v>
      </c>
      <c r="O7" s="58">
        <v>12.513840360088365</v>
      </c>
      <c r="P7" s="58">
        <v>-40.898073556507725</v>
      </c>
      <c r="Q7" s="58">
        <v>218.23712663967385</v>
      </c>
      <c r="R7" s="58">
        <v>-221.06214535820658</v>
      </c>
      <c r="S7" s="58">
        <v>80.518624667378177</v>
      </c>
      <c r="T7" s="59">
        <v>12.008115016795491</v>
      </c>
      <c r="U7" s="59">
        <v>196.18883209037395</v>
      </c>
      <c r="V7" s="59">
        <v>-264.26583667363997</v>
      </c>
      <c r="W7" s="59">
        <v>221.98560247875443</v>
      </c>
      <c r="X7" s="60">
        <v>-109.07676871011336</v>
      </c>
      <c r="Y7" s="59">
        <v>23.693143388131361</v>
      </c>
      <c r="Z7" s="60">
        <v>0.10090707670448751</v>
      </c>
      <c r="AA7" s="60">
        <v>527.31253480885448</v>
      </c>
      <c r="AB7" s="60">
        <v>-1485.944960645709</v>
      </c>
      <c r="AC7" s="60">
        <v>2142.368363387639</v>
      </c>
      <c r="AD7" s="60">
        <v>-1526.7565539991181</v>
      </c>
      <c r="AE7" s="60">
        <v>421.77962351632135</v>
      </c>
      <c r="AF7" s="58">
        <v>3.78</v>
      </c>
      <c r="AG7" s="58">
        <v>3600</v>
      </c>
      <c r="AH7" s="58"/>
      <c r="AI7" s="57"/>
      <c r="AJ7" s="58"/>
    </row>
    <row r="8" spans="1:36" x14ac:dyDescent="0.3">
      <c r="A8" s="57" t="s">
        <v>59</v>
      </c>
      <c r="B8" s="110" t="s">
        <v>253</v>
      </c>
      <c r="C8" s="57" t="s">
        <v>258</v>
      </c>
      <c r="D8" s="58">
        <v>30.7</v>
      </c>
      <c r="E8" s="58">
        <v>80</v>
      </c>
      <c r="F8" s="58">
        <v>1980</v>
      </c>
      <c r="G8" s="58">
        <v>28.7</v>
      </c>
      <c r="H8" s="59">
        <v>3599.94130662307</v>
      </c>
      <c r="I8" s="59">
        <v>-165.01191794993457</v>
      </c>
      <c r="J8" s="59">
        <v>-118.89570629188738</v>
      </c>
      <c r="K8" s="59">
        <v>57.967063173484014</v>
      </c>
      <c r="L8" s="59">
        <v>86.286920703355946</v>
      </c>
      <c r="M8" s="60">
        <v>-65.495339716264908</v>
      </c>
      <c r="N8" s="58">
        <v>50.766155960032229</v>
      </c>
      <c r="O8" s="58">
        <v>6.7221408934663751</v>
      </c>
      <c r="P8" s="58">
        <v>5.6624668714322413</v>
      </c>
      <c r="Q8" s="58">
        <v>99.774851377009625</v>
      </c>
      <c r="R8" s="58">
        <v>-104.34550419521686</v>
      </c>
      <c r="S8" s="58">
        <v>41.286583484989961</v>
      </c>
      <c r="T8" s="59">
        <v>12.003149460994226</v>
      </c>
      <c r="U8" s="59">
        <v>200.13313282920655</v>
      </c>
      <c r="V8" s="59">
        <v>-304.14483355062845</v>
      </c>
      <c r="W8" s="59">
        <v>324.9890380307948</v>
      </c>
      <c r="X8" s="60">
        <v>-210.00756966885035</v>
      </c>
      <c r="Y8" s="59">
        <v>57.502991083357017</v>
      </c>
      <c r="Z8" s="60">
        <v>0.13151472083538351</v>
      </c>
      <c r="AA8" s="60">
        <v>487.39364829712775</v>
      </c>
      <c r="AB8" s="60">
        <v>-1268.339927351288</v>
      </c>
      <c r="AC8" s="60">
        <v>1716.7788229444882</v>
      </c>
      <c r="AD8" s="60">
        <v>-1173.3787373543682</v>
      </c>
      <c r="AE8" s="60">
        <v>316.3672924461236</v>
      </c>
      <c r="AF8" s="58">
        <v>3.78</v>
      </c>
      <c r="AG8" s="58">
        <v>3600</v>
      </c>
      <c r="AH8" s="58"/>
      <c r="AI8" s="57"/>
      <c r="AJ8" s="58"/>
    </row>
    <row r="9" spans="1:36" x14ac:dyDescent="0.3">
      <c r="A9" s="57" t="s">
        <v>59</v>
      </c>
      <c r="B9" s="110" t="s">
        <v>253</v>
      </c>
      <c r="C9" s="57" t="s">
        <v>259</v>
      </c>
      <c r="D9" s="58">
        <v>33</v>
      </c>
      <c r="E9" s="58">
        <v>90</v>
      </c>
      <c r="F9" s="58">
        <v>1980</v>
      </c>
      <c r="G9" s="57">
        <v>27.6</v>
      </c>
      <c r="H9" s="59">
        <v>3599.7588205127786</v>
      </c>
      <c r="I9" s="59">
        <v>-250.0280973393532</v>
      </c>
      <c r="J9" s="59">
        <v>151.72082245940101</v>
      </c>
      <c r="K9" s="59">
        <v>-156.1813829385521</v>
      </c>
      <c r="L9" s="59">
        <v>37.266485725145763</v>
      </c>
      <c r="M9" s="60">
        <v>12.342546452504292</v>
      </c>
      <c r="N9" s="58">
        <v>59.241298465930953</v>
      </c>
      <c r="O9" s="58">
        <v>26.23369558638495</v>
      </c>
      <c r="P9" s="58">
        <v>-9.992475417978385</v>
      </c>
      <c r="Q9" s="58">
        <v>66.400302882628495</v>
      </c>
      <c r="R9" s="58">
        <v>-68.876968496131497</v>
      </c>
      <c r="S9" s="58">
        <v>27.000633443382458</v>
      </c>
      <c r="T9" s="59">
        <v>11.046543947586414</v>
      </c>
      <c r="U9" s="59">
        <v>258.51753382350603</v>
      </c>
      <c r="V9" s="59">
        <v>-497.34807584377296</v>
      </c>
      <c r="W9" s="59">
        <v>589.08207795104499</v>
      </c>
      <c r="X9" s="60">
        <v>-373.3494755519107</v>
      </c>
      <c r="Y9" s="59">
        <v>95.054357787856205</v>
      </c>
      <c r="Z9" s="60">
        <v>0.22693263756897863</v>
      </c>
      <c r="AA9" s="60">
        <v>512.77756227485042</v>
      </c>
      <c r="AB9" s="60">
        <v>-1385.1824795920484</v>
      </c>
      <c r="AC9" s="60">
        <v>1922.8135775961193</v>
      </c>
      <c r="AD9" s="60">
        <v>-1328.9257875133846</v>
      </c>
      <c r="AE9" s="60">
        <v>358.8504164123496</v>
      </c>
      <c r="AF9" s="58">
        <v>3.78</v>
      </c>
      <c r="AG9" s="58">
        <v>3600</v>
      </c>
      <c r="AH9" s="58"/>
      <c r="AI9" s="57"/>
      <c r="AJ9" s="58"/>
    </row>
    <row r="10" spans="1:36" x14ac:dyDescent="0.3">
      <c r="A10" s="57" t="s">
        <v>59</v>
      </c>
      <c r="B10" s="110" t="s">
        <v>253</v>
      </c>
      <c r="C10" s="57" t="s">
        <v>260</v>
      </c>
      <c r="D10" s="58">
        <v>47.2</v>
      </c>
      <c r="E10" s="58">
        <v>112</v>
      </c>
      <c r="F10" s="58">
        <v>2760</v>
      </c>
      <c r="G10" s="57">
        <v>25.5</v>
      </c>
      <c r="H10" s="59">
        <v>3599.7588205127786</v>
      </c>
      <c r="I10" s="59">
        <v>-250.0280973393532</v>
      </c>
      <c r="J10" s="59">
        <v>151.72082245940101</v>
      </c>
      <c r="K10" s="59">
        <v>-156.1813829385521</v>
      </c>
      <c r="L10" s="59">
        <v>37.266485725145763</v>
      </c>
      <c r="M10" s="60">
        <v>12.342546452504292</v>
      </c>
      <c r="N10" s="58">
        <v>59.241298465930953</v>
      </c>
      <c r="O10" s="58">
        <v>26.23369558638495</v>
      </c>
      <c r="P10" s="58">
        <v>-9.992475417978385</v>
      </c>
      <c r="Q10" s="58">
        <v>66.400302882628495</v>
      </c>
      <c r="R10" s="58">
        <v>-68.876968496131497</v>
      </c>
      <c r="S10" s="58">
        <v>27.000633443382458</v>
      </c>
      <c r="T10" s="59">
        <v>11.046543947586414</v>
      </c>
      <c r="U10" s="59">
        <v>258.51753382350603</v>
      </c>
      <c r="V10" s="59">
        <v>-497.34807584377296</v>
      </c>
      <c r="W10" s="59">
        <v>589.08207795104499</v>
      </c>
      <c r="X10" s="60">
        <v>-373.3494755519107</v>
      </c>
      <c r="Y10" s="59">
        <v>95.054357787856205</v>
      </c>
      <c r="Z10" s="60">
        <v>0.22693263756897863</v>
      </c>
      <c r="AA10" s="60">
        <v>512.77756227485042</v>
      </c>
      <c r="AB10" s="60">
        <v>-1385.1824795920484</v>
      </c>
      <c r="AC10" s="60">
        <v>1922.8135775961193</v>
      </c>
      <c r="AD10" s="60">
        <v>-1328.9257875133846</v>
      </c>
      <c r="AE10" s="60">
        <v>358.8504164123496</v>
      </c>
      <c r="AF10" s="58">
        <v>3.78</v>
      </c>
      <c r="AG10" s="58">
        <v>3600</v>
      </c>
      <c r="AH10" s="58"/>
      <c r="AI10" s="57"/>
      <c r="AJ10" s="58"/>
    </row>
    <row r="11" spans="1:36" x14ac:dyDescent="0.3">
      <c r="A11" s="57" t="s">
        <v>59</v>
      </c>
      <c r="B11" s="110" t="s">
        <v>253</v>
      </c>
      <c r="C11" s="57" t="s">
        <v>261</v>
      </c>
      <c r="D11" s="58">
        <v>56.6</v>
      </c>
      <c r="E11" s="58">
        <v>159</v>
      </c>
      <c r="F11" s="58">
        <v>3600</v>
      </c>
      <c r="G11" s="58">
        <v>28</v>
      </c>
      <c r="H11" s="59">
        <v>3599.9997483019356</v>
      </c>
      <c r="I11" s="59">
        <v>-25.45830429027567</v>
      </c>
      <c r="J11" s="59">
        <v>-809.49370291853347</v>
      </c>
      <c r="K11" s="59">
        <v>1446.0022134352607</v>
      </c>
      <c r="L11" s="59">
        <v>-1148.6975847093884</v>
      </c>
      <c r="M11" s="60">
        <v>321.65005699367583</v>
      </c>
      <c r="N11" s="58">
        <v>55.350765654089912</v>
      </c>
      <c r="O11" s="58">
        <v>4.7385088911055213</v>
      </c>
      <c r="P11" s="58">
        <v>4.4890362262136998</v>
      </c>
      <c r="Q11" s="58">
        <v>96.36353064080285</v>
      </c>
      <c r="R11" s="58">
        <v>-89.923120269647583</v>
      </c>
      <c r="S11" s="58">
        <v>29.042766327555334</v>
      </c>
      <c r="T11" s="59">
        <v>11.201126721110533</v>
      </c>
      <c r="U11" s="59">
        <v>145.98603722744772</v>
      </c>
      <c r="V11" s="59">
        <v>-18.909699261865018</v>
      </c>
      <c r="W11" s="59">
        <v>-187.4847802963323</v>
      </c>
      <c r="X11" s="60">
        <v>197.89755208131999</v>
      </c>
      <c r="Y11" s="59">
        <v>-62.701100047772428</v>
      </c>
      <c r="Z11" s="60">
        <v>1.8905982123555987E-3</v>
      </c>
      <c r="AA11" s="60">
        <v>542.08127881003554</v>
      </c>
      <c r="AB11" s="60">
        <v>-1451.4511435101035</v>
      </c>
      <c r="AC11" s="60">
        <v>1921.6597826297859</v>
      </c>
      <c r="AD11" s="60">
        <v>-1240.8869449159911</v>
      </c>
      <c r="AE11" s="60">
        <v>308.57690769122712</v>
      </c>
      <c r="AF11" s="58">
        <v>3.78</v>
      </c>
      <c r="AG11" s="58">
        <v>3600</v>
      </c>
      <c r="AH11" s="58"/>
      <c r="AI11" s="57"/>
      <c r="AJ11" s="58"/>
    </row>
    <row r="12" spans="1:36" x14ac:dyDescent="0.3">
      <c r="A12" s="57" t="s">
        <v>59</v>
      </c>
      <c r="B12" s="110" t="s">
        <v>97</v>
      </c>
      <c r="C12" s="57" t="s">
        <v>262</v>
      </c>
      <c r="D12" s="58">
        <v>10.199999999999999</v>
      </c>
      <c r="E12" s="58">
        <v>26</v>
      </c>
      <c r="F12" s="58">
        <v>720</v>
      </c>
      <c r="G12" s="58">
        <v>24.7</v>
      </c>
      <c r="H12" s="59">
        <v>3600.0484568620532</v>
      </c>
      <c r="I12" s="59">
        <v>-152.09596772147336</v>
      </c>
      <c r="J12" s="59">
        <v>53.666250244634448</v>
      </c>
      <c r="K12" s="59">
        <v>-155.72533002828652</v>
      </c>
      <c r="L12" s="59">
        <v>149.25537096023027</v>
      </c>
      <c r="M12" s="60">
        <v>-50.87083255169086</v>
      </c>
      <c r="N12" s="58">
        <v>58.708099665832179</v>
      </c>
      <c r="O12" s="58">
        <v>21.654985690292595</v>
      </c>
      <c r="P12" s="58">
        <v>30.924041626897246</v>
      </c>
      <c r="Q12" s="58">
        <v>-25.454046364886963</v>
      </c>
      <c r="R12" s="58">
        <v>16.18094638080089</v>
      </c>
      <c r="S12" s="58">
        <v>-2.0337173427921433</v>
      </c>
      <c r="T12" s="59">
        <v>12.426964942468249</v>
      </c>
      <c r="U12" s="59">
        <v>153.21068549286585</v>
      </c>
      <c r="V12" s="59">
        <v>-184.42714343804059</v>
      </c>
      <c r="W12" s="59">
        <v>177.41312248266337</v>
      </c>
      <c r="X12" s="60">
        <v>-114.83769929685674</v>
      </c>
      <c r="Y12" s="59">
        <v>32.135024993718012</v>
      </c>
      <c r="Z12" s="60">
        <v>3.3318809659732551E-2</v>
      </c>
      <c r="AA12" s="60">
        <v>537.95132349765368</v>
      </c>
      <c r="AB12" s="60">
        <v>-1500.5260635925499</v>
      </c>
      <c r="AC12" s="60">
        <v>2115.3658148789837</v>
      </c>
      <c r="AD12" s="60">
        <v>-1460.8738041844574</v>
      </c>
      <c r="AE12" s="60">
        <v>389.8587753388361</v>
      </c>
      <c r="AF12" s="58">
        <v>4.0599999999999996</v>
      </c>
      <c r="AG12" s="58">
        <v>3600</v>
      </c>
      <c r="AH12" s="58"/>
      <c r="AI12" s="57"/>
      <c r="AJ12" s="58"/>
    </row>
    <row r="13" spans="1:36" x14ac:dyDescent="0.3">
      <c r="A13" s="57" t="s">
        <v>59</v>
      </c>
      <c r="B13" s="110" t="s">
        <v>97</v>
      </c>
      <c r="C13" s="57" t="s">
        <v>255</v>
      </c>
      <c r="D13" s="58">
        <v>12.4</v>
      </c>
      <c r="E13" s="58">
        <v>35</v>
      </c>
      <c r="F13" s="58">
        <v>840</v>
      </c>
      <c r="G13" s="58">
        <v>28.6</v>
      </c>
      <c r="H13" s="59">
        <v>3599.9679785304947</v>
      </c>
      <c r="I13" s="59">
        <v>-163.69122968667665</v>
      </c>
      <c r="J13" s="59">
        <v>-8.0586663979181452</v>
      </c>
      <c r="K13" s="59">
        <v>-7.0319109338882129</v>
      </c>
      <c r="L13" s="59">
        <v>-28.415668894347228</v>
      </c>
      <c r="M13" s="60">
        <v>20.116462657491923</v>
      </c>
      <c r="N13" s="58">
        <v>42.306254234029339</v>
      </c>
      <c r="O13" s="58">
        <v>26.338413622563873</v>
      </c>
      <c r="P13" s="58">
        <v>-23.282857343197488</v>
      </c>
      <c r="Q13" s="58">
        <v>167.00528253132225</v>
      </c>
      <c r="R13" s="58">
        <v>-167.77610949351535</v>
      </c>
      <c r="S13" s="58">
        <v>55.450654811547928</v>
      </c>
      <c r="T13" s="59">
        <v>14.005815963763286</v>
      </c>
      <c r="U13" s="59">
        <v>196.66889921424121</v>
      </c>
      <c r="V13" s="59">
        <v>-308.97044597919302</v>
      </c>
      <c r="W13" s="59">
        <v>317.10778350547588</v>
      </c>
      <c r="X13" s="60">
        <v>-180.52382539259273</v>
      </c>
      <c r="Y13" s="59">
        <v>41.945768150188655</v>
      </c>
      <c r="Z13" s="60">
        <v>3.3920705665366313E-2</v>
      </c>
      <c r="AA13" s="60">
        <v>461.73414086410065</v>
      </c>
      <c r="AB13" s="60">
        <v>-1153.7073112666387</v>
      </c>
      <c r="AC13" s="60">
        <v>1500.4216148760861</v>
      </c>
      <c r="AD13" s="60">
        <v>-984.89555873634038</v>
      </c>
      <c r="AE13" s="60">
        <v>255.2186494742889</v>
      </c>
      <c r="AF13" s="58">
        <v>4.0599999999999996</v>
      </c>
      <c r="AG13" s="58">
        <v>3600</v>
      </c>
      <c r="AH13" s="58"/>
      <c r="AI13" s="57"/>
      <c r="AJ13" s="58"/>
    </row>
    <row r="14" spans="1:36" x14ac:dyDescent="0.3">
      <c r="A14" s="57" t="s">
        <v>59</v>
      </c>
      <c r="B14" s="110" t="s">
        <v>97</v>
      </c>
      <c r="C14" s="57" t="s">
        <v>263</v>
      </c>
      <c r="D14" s="58">
        <v>13.6</v>
      </c>
      <c r="E14" s="58">
        <v>45</v>
      </c>
      <c r="F14" s="58">
        <v>1020</v>
      </c>
      <c r="G14" s="58">
        <v>30</v>
      </c>
      <c r="H14" s="59">
        <v>3600.0147745964223</v>
      </c>
      <c r="I14" s="59">
        <v>-149.71984737403679</v>
      </c>
      <c r="J14" s="59">
        <v>7.635184556212316</v>
      </c>
      <c r="K14" s="59">
        <v>-3.6509791953433317</v>
      </c>
      <c r="L14" s="59">
        <v>8.0578894488024666</v>
      </c>
      <c r="M14" s="60">
        <v>-10.580827069235651</v>
      </c>
      <c r="N14" s="58">
        <v>54.891172528662814</v>
      </c>
      <c r="O14" s="58">
        <v>5.1807285716381211</v>
      </c>
      <c r="P14" s="58">
        <v>53.296796798836425</v>
      </c>
      <c r="Q14" s="58">
        <v>-54.692844568751738</v>
      </c>
      <c r="R14" s="58">
        <v>75.816491204156719</v>
      </c>
      <c r="S14" s="58">
        <v>-34.580602123017592</v>
      </c>
      <c r="T14" s="59">
        <v>11.400071694539797</v>
      </c>
      <c r="U14" s="59">
        <v>158.99588963748164</v>
      </c>
      <c r="V14" s="59">
        <v>-125.59149977446123</v>
      </c>
      <c r="W14" s="59">
        <v>-16.526080025877391</v>
      </c>
      <c r="X14" s="60">
        <v>86.482431426763895</v>
      </c>
      <c r="Y14" s="59">
        <v>-36.664356224024701</v>
      </c>
      <c r="Z14" s="60">
        <v>1.9758418878623729E-3</v>
      </c>
      <c r="AA14" s="60">
        <v>364.58862764389369</v>
      </c>
      <c r="AB14" s="60">
        <v>-680.606638758244</v>
      </c>
      <c r="AC14" s="60">
        <v>646.2369455177577</v>
      </c>
      <c r="AD14" s="60">
        <v>-304.9983847891404</v>
      </c>
      <c r="AE14" s="60">
        <v>55.562998861364733</v>
      </c>
      <c r="AF14" s="58">
        <v>4.0599999999999996</v>
      </c>
      <c r="AG14" s="58">
        <v>3600</v>
      </c>
      <c r="AH14" s="58"/>
      <c r="AI14" s="57"/>
      <c r="AJ14" s="58"/>
    </row>
    <row r="15" spans="1:36" x14ac:dyDescent="0.3">
      <c r="A15" s="57" t="s">
        <v>59</v>
      </c>
      <c r="B15" s="110" t="s">
        <v>97</v>
      </c>
      <c r="C15" s="57" t="s">
        <v>256</v>
      </c>
      <c r="D15" s="58">
        <v>14.7</v>
      </c>
      <c r="E15" s="58">
        <v>51</v>
      </c>
      <c r="F15" s="58">
        <v>1200</v>
      </c>
      <c r="G15" s="58">
        <v>30.5</v>
      </c>
      <c r="H15" s="59">
        <v>3599.9896919497664</v>
      </c>
      <c r="I15" s="59">
        <v>-138.93772407578729</v>
      </c>
      <c r="J15" s="59">
        <v>25.691682148262775</v>
      </c>
      <c r="K15" s="59">
        <v>-87.791336722985136</v>
      </c>
      <c r="L15" s="59">
        <v>76.148648469888528</v>
      </c>
      <c r="M15" s="60">
        <v>-18.511385555601645</v>
      </c>
      <c r="N15" s="58">
        <v>55.753269612841109</v>
      </c>
      <c r="O15" s="58">
        <v>5.7345203464953247</v>
      </c>
      <c r="P15" s="58">
        <v>94.006735104059558</v>
      </c>
      <c r="Q15" s="58">
        <v>-164.08971658473016</v>
      </c>
      <c r="R15" s="58">
        <v>170.77202230891413</v>
      </c>
      <c r="S15" s="58">
        <v>-62.216428342252676</v>
      </c>
      <c r="T15" s="59">
        <v>11.385562057744544</v>
      </c>
      <c r="U15" s="59">
        <v>149.94045345256572</v>
      </c>
      <c r="V15" s="59">
        <v>-93.542216916388298</v>
      </c>
      <c r="W15" s="59">
        <v>-55.775189325689603</v>
      </c>
      <c r="X15" s="60">
        <v>119.06749380071741</v>
      </c>
      <c r="Y15" s="59">
        <v>-50.734693699291149</v>
      </c>
      <c r="Z15" s="60">
        <v>5.0283086175966218E-3</v>
      </c>
      <c r="AA15" s="60">
        <v>368.71615308758356</v>
      </c>
      <c r="AB15" s="60">
        <v>-755.16540513415839</v>
      </c>
      <c r="AC15" s="60">
        <v>834.77693967226003</v>
      </c>
      <c r="AD15" s="60">
        <v>-478.37750102621874</v>
      </c>
      <c r="AE15" s="60">
        <v>110.23198774542337</v>
      </c>
      <c r="AF15" s="58">
        <v>4.0599999999999996</v>
      </c>
      <c r="AG15" s="58">
        <v>3600</v>
      </c>
      <c r="AH15" s="58"/>
      <c r="AI15" s="57"/>
      <c r="AJ15" s="58"/>
    </row>
    <row r="16" spans="1:36" x14ac:dyDescent="0.3">
      <c r="A16" s="57" t="s">
        <v>59</v>
      </c>
      <c r="B16" s="110" t="s">
        <v>97</v>
      </c>
      <c r="C16" s="57" t="s">
        <v>264</v>
      </c>
      <c r="D16" s="58">
        <v>17</v>
      </c>
      <c r="E16" s="58">
        <v>64</v>
      </c>
      <c r="F16" s="58">
        <v>1200</v>
      </c>
      <c r="G16" s="57">
        <v>34</v>
      </c>
      <c r="H16" s="59">
        <v>3599.6684774471009</v>
      </c>
      <c r="I16" s="59">
        <v>-151.56569888623463</v>
      </c>
      <c r="J16" s="59">
        <v>-200.66439341649857</v>
      </c>
      <c r="K16" s="59">
        <v>409.95935322214359</v>
      </c>
      <c r="L16" s="59">
        <v>-376.82981112361978</v>
      </c>
      <c r="M16" s="60">
        <v>126.45708532169951</v>
      </c>
      <c r="N16" s="58">
        <v>54.2182147787357</v>
      </c>
      <c r="O16" s="58">
        <v>0.80030019174594869</v>
      </c>
      <c r="P16" s="58">
        <v>61.868755615705197</v>
      </c>
      <c r="Q16" s="58">
        <v>-10.158255546320921</v>
      </c>
      <c r="R16" s="58">
        <v>-30.659089172007942</v>
      </c>
      <c r="S16" s="58">
        <v>23.448265870652335</v>
      </c>
      <c r="T16" s="59">
        <v>9.5920365827356946</v>
      </c>
      <c r="U16" s="59">
        <v>195.51551848988271</v>
      </c>
      <c r="V16" s="59">
        <v>-256.01014970864537</v>
      </c>
      <c r="W16" s="59">
        <v>293.42077521896726</v>
      </c>
      <c r="X16" s="60">
        <v>-241.16543447053164</v>
      </c>
      <c r="Y16" s="59">
        <v>82.599626531944665</v>
      </c>
      <c r="Z16" s="60">
        <v>0.19290725003190801</v>
      </c>
      <c r="AA16" s="60">
        <v>513.01528920562487</v>
      </c>
      <c r="AB16" s="60">
        <v>-1379.2582261953646</v>
      </c>
      <c r="AC16" s="60">
        <v>1940.284035548995</v>
      </c>
      <c r="AD16" s="60">
        <v>-1374.6134968077704</v>
      </c>
      <c r="AE16" s="60">
        <v>381.46232878876248</v>
      </c>
      <c r="AF16" s="58">
        <v>4.0599999999999996</v>
      </c>
      <c r="AG16" s="58">
        <v>3600</v>
      </c>
      <c r="AH16" s="58"/>
      <c r="AI16" s="57"/>
      <c r="AJ16" s="58"/>
    </row>
    <row r="17" spans="1:36" x14ac:dyDescent="0.3">
      <c r="A17" s="57" t="s">
        <v>59</v>
      </c>
      <c r="B17" s="110" t="s">
        <v>97</v>
      </c>
      <c r="C17" s="57" t="s">
        <v>265</v>
      </c>
      <c r="D17" s="58">
        <v>19.3</v>
      </c>
      <c r="E17" s="58">
        <v>72</v>
      </c>
      <c r="F17" s="58">
        <v>1380</v>
      </c>
      <c r="G17" s="58">
        <v>36</v>
      </c>
      <c r="H17" s="59">
        <v>3600.0089647234608</v>
      </c>
      <c r="I17" s="59">
        <v>-133.92386190723045</v>
      </c>
      <c r="J17" s="59">
        <v>-95.492658946072524</v>
      </c>
      <c r="K17" s="59">
        <v>112.21984524720204</v>
      </c>
      <c r="L17" s="59">
        <v>-45.834861638436564</v>
      </c>
      <c r="M17" s="60">
        <v>1.1160355816140377</v>
      </c>
      <c r="N17" s="58">
        <v>50.835821140170083</v>
      </c>
      <c r="O17" s="58">
        <v>11.478022406225636</v>
      </c>
      <c r="P17" s="58">
        <v>54.378976885507555</v>
      </c>
      <c r="Q17" s="58">
        <v>-56.489684275263507</v>
      </c>
      <c r="R17" s="58">
        <v>57.597635249941824</v>
      </c>
      <c r="S17" s="58">
        <v>-17.819013309738121</v>
      </c>
      <c r="T17" s="59">
        <v>9.3980415895261942</v>
      </c>
      <c r="U17" s="59">
        <v>173.03884627696078</v>
      </c>
      <c r="V17" s="59">
        <v>-144.17277084029638</v>
      </c>
      <c r="W17" s="59">
        <v>17.453318672194346</v>
      </c>
      <c r="X17" s="60">
        <v>48.142969606325664</v>
      </c>
      <c r="Y17" s="59">
        <v>-23.688539309103255</v>
      </c>
      <c r="Z17" s="60">
        <v>6.4076926925338284E-5</v>
      </c>
      <c r="AA17" s="60">
        <v>419.38289321935156</v>
      </c>
      <c r="AB17" s="60">
        <v>-899.63626519434649</v>
      </c>
      <c r="AC17" s="60">
        <v>991.7447261187499</v>
      </c>
      <c r="AD17" s="60">
        <v>-549.21474329897319</v>
      </c>
      <c r="AE17" s="60">
        <v>119.22990638888631</v>
      </c>
      <c r="AF17" s="58">
        <v>4.0599999999999996</v>
      </c>
      <c r="AG17" s="58">
        <v>3600</v>
      </c>
      <c r="AH17" s="58"/>
      <c r="AI17" s="57"/>
      <c r="AJ17" s="58"/>
    </row>
    <row r="18" spans="1:36" x14ac:dyDescent="0.3">
      <c r="A18" s="57" t="s">
        <v>59</v>
      </c>
      <c r="B18" s="110" t="s">
        <v>97</v>
      </c>
      <c r="C18" s="57" t="s">
        <v>266</v>
      </c>
      <c r="D18" s="58">
        <v>22.7</v>
      </c>
      <c r="E18" s="58">
        <v>90</v>
      </c>
      <c r="F18" s="58">
        <v>1920</v>
      </c>
      <c r="G18" s="58">
        <v>30</v>
      </c>
      <c r="H18" s="59">
        <v>3600.0097542672338</v>
      </c>
      <c r="I18" s="59">
        <v>-143.51584461284631</v>
      </c>
      <c r="J18" s="59">
        <v>-36.327245996693897</v>
      </c>
      <c r="K18" s="59">
        <v>-58.347072821371285</v>
      </c>
      <c r="L18" s="59">
        <v>76.439857089297178</v>
      </c>
      <c r="M18" s="60">
        <v>-32.534754736739842</v>
      </c>
      <c r="N18" s="58">
        <v>51.339433291087026</v>
      </c>
      <c r="O18" s="58">
        <v>19.844656389475759</v>
      </c>
      <c r="P18" s="58">
        <v>-3.1569367838487961</v>
      </c>
      <c r="Q18" s="58">
        <v>77.149800661885081</v>
      </c>
      <c r="R18" s="58">
        <v>-68.499560661997734</v>
      </c>
      <c r="S18" s="58">
        <v>23.404170640222684</v>
      </c>
      <c r="T18" s="59">
        <v>1.9943019049100137</v>
      </c>
      <c r="U18" s="59">
        <v>193.13069504137053</v>
      </c>
      <c r="V18" s="59">
        <v>-151.63495547130842</v>
      </c>
      <c r="W18" s="59">
        <v>5.7472688534937388</v>
      </c>
      <c r="X18" s="60">
        <v>57.607577311752756</v>
      </c>
      <c r="Y18" s="59">
        <v>-23.772867807443863</v>
      </c>
      <c r="Z18" s="60">
        <v>1.1204658288349378E-2</v>
      </c>
      <c r="AA18" s="60">
        <v>496.99153540135688</v>
      </c>
      <c r="AB18" s="60">
        <v>-1273.9257150757999</v>
      </c>
      <c r="AC18" s="60">
        <v>1687.1725382658831</v>
      </c>
      <c r="AD18" s="60">
        <v>-1131.4844082906586</v>
      </c>
      <c r="AE18" s="60">
        <v>302.36528342299971</v>
      </c>
      <c r="AF18" s="58">
        <v>4.0599999999999996</v>
      </c>
      <c r="AG18" s="58">
        <v>3600</v>
      </c>
      <c r="AH18" s="58"/>
      <c r="AI18" s="57"/>
      <c r="AJ18" s="58"/>
    </row>
    <row r="19" spans="1:36" x14ac:dyDescent="0.3">
      <c r="A19" s="57" t="s">
        <v>59</v>
      </c>
      <c r="B19" s="110" t="s">
        <v>97</v>
      </c>
      <c r="C19" s="57" t="s">
        <v>267</v>
      </c>
      <c r="D19" s="58">
        <v>23.8</v>
      </c>
      <c r="E19" s="58">
        <v>101</v>
      </c>
      <c r="F19" s="58">
        <v>1980</v>
      </c>
      <c r="G19" s="58">
        <v>34.200000000000003</v>
      </c>
      <c r="H19" s="59">
        <v>3600.0278858627617</v>
      </c>
      <c r="I19" s="59">
        <v>-165.9327454895303</v>
      </c>
      <c r="J19" s="59">
        <v>-133.29256653528563</v>
      </c>
      <c r="K19" s="59">
        <v>260.98905018249758</v>
      </c>
      <c r="L19" s="59">
        <v>-257.36146692858051</v>
      </c>
      <c r="M19" s="60">
        <v>97.568817393757968</v>
      </c>
      <c r="N19" s="58">
        <v>42.688519332910879</v>
      </c>
      <c r="O19" s="58">
        <v>24.474024421741451</v>
      </c>
      <c r="P19" s="58">
        <v>29.691900363471895</v>
      </c>
      <c r="Q19" s="58">
        <v>-1.7616612831268665</v>
      </c>
      <c r="R19" s="58">
        <v>10.171927193891424</v>
      </c>
      <c r="S19" s="58">
        <v>-5.427387457482495</v>
      </c>
      <c r="T19" s="59">
        <v>10.582960192010212</v>
      </c>
      <c r="U19" s="59">
        <v>227.24181892797608</v>
      </c>
      <c r="V19" s="59">
        <v>-363.29348732643706</v>
      </c>
      <c r="W19" s="59">
        <v>360.91275862094415</v>
      </c>
      <c r="X19" s="60">
        <v>-204.96607443726589</v>
      </c>
      <c r="Y19" s="59">
        <v>49.786135990528841</v>
      </c>
      <c r="Z19" s="60">
        <v>4.1051501994559203E-2</v>
      </c>
      <c r="AA19" s="60">
        <v>601.4863336950965</v>
      </c>
      <c r="AB19" s="60">
        <v>-1832.3057095664985</v>
      </c>
      <c r="AC19" s="60">
        <v>2766.4100525898994</v>
      </c>
      <c r="AD19" s="60">
        <v>-2032.7197148522996</v>
      </c>
      <c r="AE19" s="60">
        <v>576.7729026336184</v>
      </c>
      <c r="AF19" s="58">
        <v>4.0599999999999996</v>
      </c>
      <c r="AG19" s="58">
        <v>3600</v>
      </c>
      <c r="AH19" s="58"/>
      <c r="AI19" s="57"/>
      <c r="AJ19" s="58"/>
    </row>
    <row r="20" spans="1:36" x14ac:dyDescent="0.3">
      <c r="A20" s="57" t="s">
        <v>59</v>
      </c>
      <c r="B20" s="110" t="s">
        <v>97</v>
      </c>
      <c r="C20" s="57" t="s">
        <v>268</v>
      </c>
      <c r="D20" s="58">
        <v>26.1</v>
      </c>
      <c r="E20" s="58">
        <v>113</v>
      </c>
      <c r="F20" s="58">
        <v>2160</v>
      </c>
      <c r="G20" s="58">
        <v>34.299999999999997</v>
      </c>
      <c r="H20" s="59">
        <v>3600.9679772282716</v>
      </c>
      <c r="I20" s="59">
        <v>-340.99468670281112</v>
      </c>
      <c r="J20" s="59">
        <v>1374.412923989579</v>
      </c>
      <c r="K20" s="59">
        <v>-4403.6205576153325</v>
      </c>
      <c r="L20" s="59">
        <v>5226.7926002670974</v>
      </c>
      <c r="M20" s="60">
        <v>-2058.0659231917102</v>
      </c>
      <c r="N20" s="58">
        <v>42.566132359471105</v>
      </c>
      <c r="O20" s="58">
        <v>10.983793605366497</v>
      </c>
      <c r="P20" s="58">
        <v>36.384185059255422</v>
      </c>
      <c r="Q20" s="58">
        <v>7.3173469673483602</v>
      </c>
      <c r="R20" s="58">
        <v>9.6821033032063664</v>
      </c>
      <c r="S20" s="58">
        <v>-6.9101449173025218</v>
      </c>
      <c r="T20" s="59">
        <v>2.0307736955454914</v>
      </c>
      <c r="U20" s="59">
        <v>269.74503671940113</v>
      </c>
      <c r="V20" s="59">
        <v>-443.17416825941888</v>
      </c>
      <c r="W20" s="59">
        <v>449.13792199998136</v>
      </c>
      <c r="X20" s="60">
        <v>-264.22791564919572</v>
      </c>
      <c r="Y20" s="59">
        <v>67.459086504366326</v>
      </c>
      <c r="Z20" s="60">
        <v>0.13103126446054603</v>
      </c>
      <c r="AA20" s="60">
        <v>585.33628085447185</v>
      </c>
      <c r="AB20" s="60">
        <v>-1743.9583725211462</v>
      </c>
      <c r="AC20" s="60">
        <v>2565.0033912382837</v>
      </c>
      <c r="AD20" s="60">
        <v>-1824.077424264774</v>
      </c>
      <c r="AE20" s="60">
        <v>497.85635807477269</v>
      </c>
      <c r="AF20" s="58">
        <v>4.0599999999999996</v>
      </c>
      <c r="AG20" s="58">
        <v>3600</v>
      </c>
      <c r="AH20" s="58"/>
      <c r="AI20" s="57"/>
      <c r="AJ20" s="58"/>
    </row>
    <row r="21" spans="1:36" x14ac:dyDescent="0.3">
      <c r="A21" s="57" t="s">
        <v>59</v>
      </c>
      <c r="B21" s="110" t="s">
        <v>97</v>
      </c>
      <c r="C21" s="57" t="s">
        <v>269</v>
      </c>
      <c r="D21" s="58">
        <v>28.3</v>
      </c>
      <c r="E21" s="58">
        <v>129</v>
      </c>
      <c r="F21" s="58">
        <v>2400</v>
      </c>
      <c r="G21" s="58">
        <v>35.799999999999997</v>
      </c>
      <c r="H21" s="59">
        <v>3600.0120160468637</v>
      </c>
      <c r="I21" s="59">
        <v>-271.90068387659124</v>
      </c>
      <c r="J21" s="59">
        <v>22.690926879535379</v>
      </c>
      <c r="K21" s="59">
        <v>-98.415245713862916</v>
      </c>
      <c r="L21" s="59">
        <v>143.47630396090847</v>
      </c>
      <c r="M21" s="60">
        <v>-69.643140632213402</v>
      </c>
      <c r="N21" s="58">
        <v>44.131478463016002</v>
      </c>
      <c r="O21" s="58">
        <v>9.5439619791878645</v>
      </c>
      <c r="P21" s="58">
        <v>42.561537709531336</v>
      </c>
      <c r="Q21" s="58">
        <v>21.304228844633009</v>
      </c>
      <c r="R21" s="58">
        <v>-34.981429662487145</v>
      </c>
      <c r="S21" s="58">
        <v>17.469674755006086</v>
      </c>
      <c r="T21" s="59">
        <v>9.6992038360193078</v>
      </c>
      <c r="U21" s="59">
        <v>241.4481272341956</v>
      </c>
      <c r="V21" s="59">
        <v>-370.80216062141454</v>
      </c>
      <c r="W21" s="59">
        <v>318.10928016289944</v>
      </c>
      <c r="X21" s="60">
        <v>-145.01784281677138</v>
      </c>
      <c r="Y21" s="59">
        <v>28.079188489148208</v>
      </c>
      <c r="Z21" s="60">
        <v>5.6175501015331974E-5</v>
      </c>
      <c r="AA21" s="60">
        <v>517.93558253326455</v>
      </c>
      <c r="AB21" s="60">
        <v>-1380.8942932742586</v>
      </c>
      <c r="AC21" s="60">
        <v>1854.254641718336</v>
      </c>
      <c r="AD21" s="60">
        <v>-1235.2859922408416</v>
      </c>
      <c r="AE21" s="60">
        <v>322.45784086622967</v>
      </c>
      <c r="AF21" s="58">
        <v>4.0599999999999996</v>
      </c>
      <c r="AG21" s="58">
        <v>3600</v>
      </c>
      <c r="AH21" s="58"/>
      <c r="AI21" s="57"/>
      <c r="AJ21" s="58"/>
    </row>
    <row r="22" spans="1:36" x14ac:dyDescent="0.3">
      <c r="A22" s="57" t="s">
        <v>59</v>
      </c>
      <c r="B22" s="110" t="s">
        <v>97</v>
      </c>
      <c r="C22" s="57" t="s">
        <v>270</v>
      </c>
      <c r="D22" s="58">
        <v>31.7</v>
      </c>
      <c r="E22" s="58">
        <v>113</v>
      </c>
      <c r="F22" s="58">
        <v>2160</v>
      </c>
      <c r="G22" s="58">
        <v>35</v>
      </c>
      <c r="H22" s="59">
        <v>3599.9952885737207</v>
      </c>
      <c r="I22" s="59">
        <v>-189.80532010142196</v>
      </c>
      <c r="J22" s="59">
        <v>-60.214137178441995</v>
      </c>
      <c r="K22" s="59">
        <v>74.815656858110387</v>
      </c>
      <c r="L22" s="59">
        <v>-33.180502304740699</v>
      </c>
      <c r="M22" s="60">
        <v>3.3908784273513146</v>
      </c>
      <c r="N22" s="58">
        <v>41.714158336084758</v>
      </c>
      <c r="O22" s="58">
        <v>37.646284094981525</v>
      </c>
      <c r="P22" s="58">
        <v>24.407238019087675</v>
      </c>
      <c r="Q22" s="58">
        <v>-11.336331255081177</v>
      </c>
      <c r="R22" s="58">
        <v>11.387802284395091</v>
      </c>
      <c r="S22" s="58">
        <v>-3.8989201988627378</v>
      </c>
      <c r="T22" s="59">
        <v>10.999565126033485</v>
      </c>
      <c r="U22" s="59">
        <v>161.37586694402378</v>
      </c>
      <c r="V22" s="59">
        <v>-134.56981540715137</v>
      </c>
      <c r="W22" s="59">
        <v>21.545995549271034</v>
      </c>
      <c r="X22" s="60">
        <v>33.938283103548308</v>
      </c>
      <c r="Y22" s="59">
        <v>-15.072958446940605</v>
      </c>
      <c r="Z22" s="60">
        <v>8.8371467778642909E-3</v>
      </c>
      <c r="AA22" s="60">
        <v>476.27112974707751</v>
      </c>
      <c r="AB22" s="60">
        <v>-1158.6670875506925</v>
      </c>
      <c r="AC22" s="60">
        <v>1452.6534637165757</v>
      </c>
      <c r="AD22" s="60">
        <v>-915.7704648222284</v>
      </c>
      <c r="AE22" s="60">
        <v>227.42388826545883</v>
      </c>
      <c r="AF22" s="58">
        <v>4.0599999999999996</v>
      </c>
      <c r="AG22" s="58">
        <v>3600</v>
      </c>
      <c r="AH22" s="58"/>
      <c r="AI22" s="57"/>
      <c r="AJ22" s="58"/>
    </row>
    <row r="23" spans="1:36" x14ac:dyDescent="0.3">
      <c r="A23" s="57" t="s">
        <v>59</v>
      </c>
      <c r="B23" s="110" t="s">
        <v>97</v>
      </c>
      <c r="C23" s="57" t="s">
        <v>271</v>
      </c>
      <c r="D23" s="58">
        <v>38.6</v>
      </c>
      <c r="E23" s="58">
        <v>144</v>
      </c>
      <c r="F23" s="58">
        <v>2520</v>
      </c>
      <c r="G23" s="57">
        <v>35.5</v>
      </c>
      <c r="H23" s="59">
        <v>3600.0040947054545</v>
      </c>
      <c r="I23" s="59">
        <v>-174.53345694681099</v>
      </c>
      <c r="J23" s="59">
        <v>-291.38296641764487</v>
      </c>
      <c r="K23" s="59">
        <v>562.3539944166472</v>
      </c>
      <c r="L23" s="59">
        <v>-492.11639689769135</v>
      </c>
      <c r="M23" s="60">
        <v>158.10321297375467</v>
      </c>
      <c r="N23" s="58">
        <v>43.933458923927937</v>
      </c>
      <c r="O23" s="58">
        <v>13.558551999116172</v>
      </c>
      <c r="P23" s="58">
        <v>30.443668447779352</v>
      </c>
      <c r="Q23" s="58">
        <v>26.531016823193472</v>
      </c>
      <c r="R23" s="58">
        <v>-17.296385952711326</v>
      </c>
      <c r="S23" s="58">
        <v>2.8159379509190754</v>
      </c>
      <c r="T23" s="59">
        <v>0.99015541170502575</v>
      </c>
      <c r="U23" s="59">
        <v>296.58410728363123</v>
      </c>
      <c r="V23" s="59">
        <v>-431.89322157779804</v>
      </c>
      <c r="W23" s="59">
        <v>314.86435287665626</v>
      </c>
      <c r="X23" s="60">
        <v>-103.55951212783461</v>
      </c>
      <c r="Y23" s="59">
        <v>9.3502002323496924</v>
      </c>
      <c r="Z23" s="60">
        <v>2.30285463030242E-2</v>
      </c>
      <c r="AA23" s="60">
        <v>508.4439642783899</v>
      </c>
      <c r="AB23" s="60">
        <v>-1307.0812289464545</v>
      </c>
      <c r="AC23" s="60">
        <v>1720.4111557968972</v>
      </c>
      <c r="AD23" s="60">
        <v>-1136.9348477391304</v>
      </c>
      <c r="AE23" s="60">
        <v>295.85538752211164</v>
      </c>
      <c r="AF23" s="58">
        <v>4.0599999999999996</v>
      </c>
      <c r="AG23" s="58">
        <v>3600</v>
      </c>
      <c r="AH23" s="58"/>
      <c r="AI23" s="57"/>
      <c r="AJ23" s="58"/>
    </row>
    <row r="24" spans="1:36" x14ac:dyDescent="0.3">
      <c r="A24" s="57" t="s">
        <v>59</v>
      </c>
      <c r="B24" s="110" t="s">
        <v>97</v>
      </c>
      <c r="C24" s="57" t="s">
        <v>272</v>
      </c>
      <c r="D24" s="58">
        <v>40.799999999999997</v>
      </c>
      <c r="E24" s="58">
        <v>160</v>
      </c>
      <c r="F24" s="58">
        <v>2520</v>
      </c>
      <c r="G24" s="57">
        <v>40.299999999999997</v>
      </c>
      <c r="H24" s="59">
        <v>3600.0234844780925</v>
      </c>
      <c r="I24" s="59">
        <v>-187.44123897906184</v>
      </c>
      <c r="J24" s="59">
        <v>27.773027854131183</v>
      </c>
      <c r="K24" s="59">
        <v>-163.51474525510974</v>
      </c>
      <c r="L24" s="59">
        <v>202.35849798347792</v>
      </c>
      <c r="M24" s="60">
        <v>-77.113132725968612</v>
      </c>
      <c r="N24" s="58">
        <v>51.593140234415635</v>
      </c>
      <c r="O24" s="58">
        <v>16.944181239538974</v>
      </c>
      <c r="P24" s="58">
        <v>-21.493695631248034</v>
      </c>
      <c r="Q24" s="58">
        <v>168.34811566119535</v>
      </c>
      <c r="R24" s="58">
        <v>-184.69166401347866</v>
      </c>
      <c r="S24" s="58">
        <v>69.152190122959993</v>
      </c>
      <c r="T24" s="59">
        <v>10.515557398851229</v>
      </c>
      <c r="U24" s="59">
        <v>212.21100447235361</v>
      </c>
      <c r="V24" s="59">
        <v>-291.92729830110522</v>
      </c>
      <c r="W24" s="59">
        <v>268.12563985601901</v>
      </c>
      <c r="X24" s="60">
        <v>-159.11304966603711</v>
      </c>
      <c r="Y24" s="59">
        <v>44.142674119306989</v>
      </c>
      <c r="Z24" s="60">
        <v>3.8850120450604209E-2</v>
      </c>
      <c r="AA24" s="60">
        <v>492.76163297922216</v>
      </c>
      <c r="AB24" s="60">
        <v>-1242.0821183890371</v>
      </c>
      <c r="AC24" s="60">
        <v>1615.5424690223902</v>
      </c>
      <c r="AD24" s="60">
        <v>-1059.3665682908836</v>
      </c>
      <c r="AE24" s="60">
        <v>274.43876299204754</v>
      </c>
      <c r="AF24" s="58">
        <v>4.0599999999999996</v>
      </c>
      <c r="AG24" s="58">
        <v>3600</v>
      </c>
      <c r="AH24" s="58"/>
      <c r="AI24" s="57"/>
      <c r="AJ24" s="58"/>
    </row>
    <row r="25" spans="1:36" x14ac:dyDescent="0.3">
      <c r="A25" s="57" t="s">
        <v>59</v>
      </c>
      <c r="B25" s="110" t="s">
        <v>97</v>
      </c>
      <c r="C25" s="57" t="s">
        <v>273</v>
      </c>
      <c r="D25" s="58">
        <v>43.1</v>
      </c>
      <c r="E25" s="58">
        <v>201</v>
      </c>
      <c r="F25" s="58">
        <v>2760</v>
      </c>
      <c r="G25" s="58">
        <v>49</v>
      </c>
      <c r="H25" s="59">
        <v>3599.9087898584971</v>
      </c>
      <c r="I25" s="59">
        <v>-187.94032352904506</v>
      </c>
      <c r="J25" s="59">
        <v>-313.96766931638751</v>
      </c>
      <c r="K25" s="59">
        <v>707.69611926532946</v>
      </c>
      <c r="L25" s="59">
        <v>-687.79881034010407</v>
      </c>
      <c r="M25" s="60">
        <v>237.58843114368304</v>
      </c>
      <c r="N25" s="58">
        <v>45.486165357352789</v>
      </c>
      <c r="O25" s="58">
        <v>23.703703884233541</v>
      </c>
      <c r="P25" s="58">
        <v>-36.304544175864649</v>
      </c>
      <c r="Q25" s="58">
        <v>188.86164662402351</v>
      </c>
      <c r="R25" s="58">
        <v>-187.50755631829603</v>
      </c>
      <c r="S25" s="58">
        <v>65.742500342621085</v>
      </c>
      <c r="T25" s="59">
        <v>9.3037227674072369</v>
      </c>
      <c r="U25" s="59">
        <v>181.41063126180725</v>
      </c>
      <c r="V25" s="59">
        <v>-149.00558602857006</v>
      </c>
      <c r="W25" s="59">
        <v>-1.4738451956505247</v>
      </c>
      <c r="X25" s="60">
        <v>65.179528248030152</v>
      </c>
      <c r="Y25" s="59">
        <v>-25.397544546032442</v>
      </c>
      <c r="Z25" s="60">
        <v>7.5813795078204294E-2</v>
      </c>
      <c r="AA25" s="60">
        <v>576.38201915445222</v>
      </c>
      <c r="AB25" s="60">
        <v>-1691.9611314830579</v>
      </c>
      <c r="AC25" s="60">
        <v>2487.4941842089756</v>
      </c>
      <c r="AD25" s="60">
        <v>-1787.0713941650572</v>
      </c>
      <c r="AE25" s="60">
        <v>494.9641792231414</v>
      </c>
      <c r="AF25" s="58">
        <v>4.0599999999999996</v>
      </c>
      <c r="AG25" s="58">
        <v>3600</v>
      </c>
      <c r="AH25" s="58"/>
      <c r="AI25" s="57"/>
      <c r="AJ25" s="58"/>
    </row>
    <row r="26" spans="1:36" x14ac:dyDescent="0.3">
      <c r="A26" s="57" t="s">
        <v>59</v>
      </c>
      <c r="B26" s="110" t="s">
        <v>97</v>
      </c>
      <c r="C26" s="57" t="s">
        <v>274</v>
      </c>
      <c r="D26" s="58">
        <v>47.6</v>
      </c>
      <c r="E26" s="58">
        <v>226</v>
      </c>
      <c r="F26" s="58">
        <v>2880</v>
      </c>
      <c r="G26" s="58">
        <v>49</v>
      </c>
      <c r="H26" s="59">
        <v>3599.9156228418888</v>
      </c>
      <c r="I26" s="59">
        <v>-318.41281936601501</v>
      </c>
      <c r="J26" s="59">
        <v>301.84641163147501</v>
      </c>
      <c r="K26" s="59">
        <v>-684.46203140190778</v>
      </c>
      <c r="L26" s="59">
        <v>655.41634709212076</v>
      </c>
      <c r="M26" s="60">
        <v>-223.26478277921632</v>
      </c>
      <c r="N26" s="58">
        <v>38.37622139607943</v>
      </c>
      <c r="O26" s="58">
        <v>24.14524867103092</v>
      </c>
      <c r="P26" s="58">
        <v>-11.135507056262924</v>
      </c>
      <c r="Q26" s="58">
        <v>122.4777666045149</v>
      </c>
      <c r="R26" s="58">
        <v>-114.16570138658601</v>
      </c>
      <c r="S26" s="58">
        <v>40.302867537571295</v>
      </c>
      <c r="T26" s="59">
        <v>12.514069240546434</v>
      </c>
      <c r="U26" s="59">
        <v>254.78729697832202</v>
      </c>
      <c r="V26" s="59">
        <v>-450.53086817784964</v>
      </c>
      <c r="W26" s="59">
        <v>512.54207650504827</v>
      </c>
      <c r="X26" s="60">
        <v>-334.81297922722484</v>
      </c>
      <c r="Y26" s="59">
        <v>91.592862799673242</v>
      </c>
      <c r="Z26" s="60">
        <v>6.283607835911198E-2</v>
      </c>
      <c r="AA26" s="60">
        <v>622.40659088459654</v>
      </c>
      <c r="AB26" s="60">
        <v>-1940.2938054444289</v>
      </c>
      <c r="AC26" s="60">
        <v>2949.5433463995078</v>
      </c>
      <c r="AD26" s="60">
        <v>-2156.1636272874393</v>
      </c>
      <c r="AE26" s="60">
        <v>602.89010765838611</v>
      </c>
      <c r="AF26" s="58">
        <v>4.0599999999999996</v>
      </c>
      <c r="AG26" s="58">
        <v>3600</v>
      </c>
      <c r="AH26" s="58"/>
      <c r="AI26" s="57"/>
      <c r="AJ26" s="58"/>
    </row>
    <row r="27" spans="1:36" x14ac:dyDescent="0.3">
      <c r="A27" s="57" t="s">
        <v>59</v>
      </c>
      <c r="B27" s="110" t="s">
        <v>97</v>
      </c>
      <c r="C27" s="57" t="s">
        <v>275</v>
      </c>
      <c r="D27" s="58">
        <v>55.5</v>
      </c>
      <c r="E27" s="58">
        <v>258</v>
      </c>
      <c r="F27" s="58">
        <v>3480</v>
      </c>
      <c r="G27" s="58">
        <v>46.5</v>
      </c>
      <c r="H27" s="59">
        <v>3600.013306456483</v>
      </c>
      <c r="I27" s="59">
        <v>-223.61578111450319</v>
      </c>
      <c r="J27" s="59">
        <v>-71.651587089673356</v>
      </c>
      <c r="K27" s="59">
        <v>100.22483447553418</v>
      </c>
      <c r="L27" s="59">
        <v>-68.646805012500764</v>
      </c>
      <c r="M27" s="60">
        <v>18.80717847521462</v>
      </c>
      <c r="N27" s="59">
        <v>43.451873090741913</v>
      </c>
      <c r="O27" s="59">
        <v>8.944136046637583</v>
      </c>
      <c r="P27" s="59">
        <v>31.777315874538239</v>
      </c>
      <c r="Q27" s="59">
        <v>40.567475762102468</v>
      </c>
      <c r="R27" s="59">
        <v>-40.000437771425872</v>
      </c>
      <c r="S27" s="59">
        <v>15.165757312190907</v>
      </c>
      <c r="T27" s="59">
        <v>10.211510549349223</v>
      </c>
      <c r="U27" s="59">
        <v>199.38559713004776</v>
      </c>
      <c r="V27" s="59">
        <v>-153.34874692225284</v>
      </c>
      <c r="W27" s="59">
        <v>-24.281048181365183</v>
      </c>
      <c r="X27" s="60">
        <v>78.345520980137366</v>
      </c>
      <c r="Y27" s="59">
        <v>-24.855965621554478</v>
      </c>
      <c r="Z27" s="60">
        <v>2.591494538469874E-2</v>
      </c>
      <c r="AA27" s="60">
        <v>543.4709319362612</v>
      </c>
      <c r="AB27" s="60">
        <v>-1513.0966159989684</v>
      </c>
      <c r="AC27" s="60">
        <v>2120.3047065872561</v>
      </c>
      <c r="AD27" s="60">
        <v>-1462.389526396754</v>
      </c>
      <c r="AE27" s="60">
        <v>391.67047413354743</v>
      </c>
      <c r="AF27" s="58">
        <v>4.0599999999999996</v>
      </c>
      <c r="AG27" s="58">
        <v>3600</v>
      </c>
      <c r="AH27" s="58"/>
      <c r="AI27" s="57"/>
      <c r="AJ27" s="58"/>
    </row>
    <row r="28" spans="1:36" x14ac:dyDescent="0.3">
      <c r="A28" s="57" t="s">
        <v>59</v>
      </c>
      <c r="B28" s="110" t="s">
        <v>97</v>
      </c>
      <c r="C28" s="57" t="s">
        <v>276</v>
      </c>
      <c r="D28" s="58">
        <v>62.3</v>
      </c>
      <c r="E28" s="58">
        <v>289</v>
      </c>
      <c r="F28" s="58">
        <v>3720</v>
      </c>
      <c r="G28" s="58">
        <v>49</v>
      </c>
      <c r="H28" s="59">
        <v>3600.0031435735218</v>
      </c>
      <c r="I28" s="59">
        <v>-193.5729201326873</v>
      </c>
      <c r="J28" s="59">
        <v>-274.06503956060214</v>
      </c>
      <c r="K28" s="59">
        <v>596.2431420618575</v>
      </c>
      <c r="L28" s="59">
        <v>-575.63063247042226</v>
      </c>
      <c r="M28" s="60">
        <v>202.22508838149116</v>
      </c>
      <c r="N28" s="58">
        <v>40.808848396004841</v>
      </c>
      <c r="O28" s="58">
        <v>-9.758809314265525</v>
      </c>
      <c r="P28" s="58">
        <v>117.67782012282633</v>
      </c>
      <c r="Q28" s="58">
        <v>-156.73109616975751</v>
      </c>
      <c r="R28" s="58">
        <v>176.06430159387403</v>
      </c>
      <c r="S28" s="58">
        <v>-68.067682279657248</v>
      </c>
      <c r="T28" s="59">
        <v>10.495491251455279</v>
      </c>
      <c r="U28" s="59">
        <v>237.88799288762436</v>
      </c>
      <c r="V28" s="59">
        <v>-289.12403873058469</v>
      </c>
      <c r="W28" s="59">
        <v>133.94263960165441</v>
      </c>
      <c r="X28" s="60">
        <v>12.802697011491915</v>
      </c>
      <c r="Y28" s="59">
        <v>-20.008771963755194</v>
      </c>
      <c r="Z28" s="60">
        <v>1.8254465263680686E-3</v>
      </c>
      <c r="AA28" s="60">
        <v>599.46639272719051</v>
      </c>
      <c r="AB28" s="60">
        <v>-1858.5060141118345</v>
      </c>
      <c r="AC28" s="60">
        <v>2953.2253808575097</v>
      </c>
      <c r="AD28" s="60">
        <v>-2347.6637670701271</v>
      </c>
      <c r="AE28" s="60">
        <v>732.47779754930878</v>
      </c>
      <c r="AF28" s="58">
        <v>4.0599999999999996</v>
      </c>
      <c r="AG28" s="58">
        <v>3600</v>
      </c>
      <c r="AH28" s="58"/>
      <c r="AI28" s="57"/>
      <c r="AJ28" s="58"/>
    </row>
    <row r="29" spans="1:36" x14ac:dyDescent="0.3">
      <c r="A29" s="57" t="s">
        <v>59</v>
      </c>
      <c r="B29" s="110" t="s">
        <v>97</v>
      </c>
      <c r="C29" s="57" t="s">
        <v>277</v>
      </c>
      <c r="D29" s="58">
        <v>66.8</v>
      </c>
      <c r="E29" s="58">
        <v>322</v>
      </c>
      <c r="F29" s="58">
        <v>4200</v>
      </c>
      <c r="G29" s="58">
        <v>48</v>
      </c>
      <c r="H29" s="59">
        <v>3600.2612200715789</v>
      </c>
      <c r="I29" s="59">
        <v>-198.56484639271412</v>
      </c>
      <c r="J29" s="59">
        <v>-227.30326647496304</v>
      </c>
      <c r="K29" s="59">
        <v>457.67877625666569</v>
      </c>
      <c r="L29" s="59">
        <v>-419.52547291386168</v>
      </c>
      <c r="M29" s="60">
        <v>138.71448223179596</v>
      </c>
      <c r="N29" s="58">
        <v>47.568207677350145</v>
      </c>
      <c r="O29" s="58">
        <v>22.78424780262598</v>
      </c>
      <c r="P29" s="58">
        <v>18.845853390982121</v>
      </c>
      <c r="Q29" s="58">
        <v>66.608448631326766</v>
      </c>
      <c r="R29" s="58">
        <v>-96.626069516916957</v>
      </c>
      <c r="S29" s="58">
        <v>40.69488639010968</v>
      </c>
      <c r="T29" s="59">
        <v>10.384000510211475</v>
      </c>
      <c r="U29" s="59">
        <v>252.04664905941516</v>
      </c>
      <c r="V29" s="59">
        <v>-400.17520139462687</v>
      </c>
      <c r="W29" s="59">
        <v>365.54757912365193</v>
      </c>
      <c r="X29" s="60">
        <v>-181.432346418701</v>
      </c>
      <c r="Y29" s="59">
        <v>38.023540914015285</v>
      </c>
      <c r="Z29" s="60">
        <v>5.1233115331086765E-2</v>
      </c>
      <c r="AA29" s="60">
        <v>531.86462860016684</v>
      </c>
      <c r="AB29" s="60">
        <v>-1406.8410174814405</v>
      </c>
      <c r="AC29" s="60">
        <v>1855.235625712224</v>
      </c>
      <c r="AD29" s="60">
        <v>-1206.5641699193404</v>
      </c>
      <c r="AE29" s="60">
        <v>305.99678843234091</v>
      </c>
      <c r="AF29" s="58">
        <v>4.0599999999999996</v>
      </c>
      <c r="AG29" s="58">
        <v>3600</v>
      </c>
      <c r="AH29" s="58"/>
      <c r="AI29" s="57"/>
      <c r="AJ29" s="58"/>
    </row>
    <row r="30" spans="1:36" x14ac:dyDescent="0.3">
      <c r="A30" s="57" t="s">
        <v>59</v>
      </c>
      <c r="B30" s="110" t="s">
        <v>213</v>
      </c>
      <c r="C30" s="57" t="s">
        <v>278</v>
      </c>
      <c r="D30" s="58">
        <v>6.2</v>
      </c>
      <c r="E30" s="58">
        <v>19</v>
      </c>
      <c r="F30" s="58">
        <v>804</v>
      </c>
      <c r="G30" s="58">
        <v>16.100000000000001</v>
      </c>
      <c r="H30" s="59">
        <v>3599.9008630540875</v>
      </c>
      <c r="I30" s="59">
        <v>-94.20115345678019</v>
      </c>
      <c r="J30" s="59">
        <v>-224.88319790360723</v>
      </c>
      <c r="K30" s="59">
        <v>568.36731017661702</v>
      </c>
      <c r="L30" s="59">
        <v>-573.36806590118908</v>
      </c>
      <c r="M30" s="60">
        <v>198.44295812343927</v>
      </c>
      <c r="N30" s="58">
        <v>59.643359082605684</v>
      </c>
      <c r="O30" s="58">
        <v>18.167036359252283</v>
      </c>
      <c r="P30" s="58">
        <v>2.8121484108720241</v>
      </c>
      <c r="Q30" s="58">
        <v>27.482622814061184</v>
      </c>
      <c r="R30" s="58">
        <v>-11.207832881272488</v>
      </c>
      <c r="S30" s="58">
        <v>3.0035900465434904</v>
      </c>
      <c r="T30" s="59">
        <v>15.010319930855676</v>
      </c>
      <c r="U30" s="59">
        <v>202.79505169565675</v>
      </c>
      <c r="V30" s="59">
        <v>-285.66472899601081</v>
      </c>
      <c r="W30" s="59">
        <v>243.08423894543191</v>
      </c>
      <c r="X30" s="60">
        <v>-119.65625077699431</v>
      </c>
      <c r="Y30" s="59">
        <v>26.117011500117759</v>
      </c>
      <c r="Z30" s="60">
        <v>4.1514855394325423E-2</v>
      </c>
      <c r="AA30" s="60">
        <v>475.70863239655313</v>
      </c>
      <c r="AB30" s="60">
        <v>-1152.1451533720692</v>
      </c>
      <c r="AC30" s="60">
        <v>1426.6418900695649</v>
      </c>
      <c r="AD30" s="60">
        <v>-887.04777584417855</v>
      </c>
      <c r="AE30" s="60">
        <v>217.89725951918297</v>
      </c>
      <c r="AF30" s="58">
        <v>4.5999999999999996</v>
      </c>
      <c r="AG30" s="58">
        <v>3600</v>
      </c>
      <c r="AH30" s="58"/>
      <c r="AI30" s="57"/>
      <c r="AJ30" s="58"/>
    </row>
    <row r="31" spans="1:36" x14ac:dyDescent="0.3">
      <c r="A31" s="57" t="s">
        <v>59</v>
      </c>
      <c r="B31" s="110" t="s">
        <v>213</v>
      </c>
      <c r="C31" s="57" t="s">
        <v>279</v>
      </c>
      <c r="D31" s="58">
        <v>7.5</v>
      </c>
      <c r="E31" s="58">
        <v>26</v>
      </c>
      <c r="F31" s="58">
        <v>780</v>
      </c>
      <c r="G31" s="58">
        <v>22.1</v>
      </c>
      <c r="H31" s="59">
        <v>3600.0027054576135</v>
      </c>
      <c r="I31" s="59">
        <v>-172.01623666413289</v>
      </c>
      <c r="J31" s="59">
        <v>21.735359719937751</v>
      </c>
      <c r="K31" s="59">
        <v>-19.756297926421031</v>
      </c>
      <c r="L31" s="59">
        <v>49.979086793832828</v>
      </c>
      <c r="M31" s="60">
        <v>-27.632687750638446</v>
      </c>
      <c r="N31" s="58">
        <v>50.899969780951992</v>
      </c>
      <c r="O31" s="58">
        <v>27.882967325530512</v>
      </c>
      <c r="P31" s="58">
        <v>35.643654650733843</v>
      </c>
      <c r="Q31" s="58">
        <v>-45.048079350576629</v>
      </c>
      <c r="R31" s="58">
        <v>42.826757290629494</v>
      </c>
      <c r="S31" s="58">
        <v>-12.221687634772241</v>
      </c>
      <c r="T31" s="59">
        <v>11.672744522546155</v>
      </c>
      <c r="U31" s="59">
        <v>197.31788476939116</v>
      </c>
      <c r="V31" s="59">
        <v>-225.35458692071268</v>
      </c>
      <c r="W31" s="59">
        <v>110.62822956667767</v>
      </c>
      <c r="X31" s="60">
        <v>-1.5262709434400874</v>
      </c>
      <c r="Y31" s="59">
        <v>-12.204242062055558</v>
      </c>
      <c r="Z31" s="60">
        <v>2.2194921064205175E-2</v>
      </c>
      <c r="AA31" s="60">
        <v>415.17709552416585</v>
      </c>
      <c r="AB31" s="60">
        <v>-903.59330104158062</v>
      </c>
      <c r="AC31" s="60">
        <v>1027.5586685123208</v>
      </c>
      <c r="AD31" s="60">
        <v>-599.45374425761656</v>
      </c>
      <c r="AE31" s="60">
        <v>140.66169290080433</v>
      </c>
      <c r="AF31" s="58">
        <v>4.5999999999999996</v>
      </c>
      <c r="AG31" s="58">
        <v>3600</v>
      </c>
      <c r="AH31" s="58"/>
      <c r="AI31" s="57"/>
      <c r="AJ31" s="58"/>
    </row>
    <row r="32" spans="1:36" x14ac:dyDescent="0.3">
      <c r="A32" s="57" t="s">
        <v>59</v>
      </c>
      <c r="B32" s="110" t="s">
        <v>213</v>
      </c>
      <c r="C32" s="57" t="s">
        <v>255</v>
      </c>
      <c r="D32" s="58">
        <v>8.9</v>
      </c>
      <c r="E32" s="58">
        <v>35</v>
      </c>
      <c r="F32" s="58">
        <v>840</v>
      </c>
      <c r="G32" s="58">
        <v>28</v>
      </c>
      <c r="H32" s="59">
        <v>3599.9943671176725</v>
      </c>
      <c r="I32" s="59">
        <v>-145.50826013828305</v>
      </c>
      <c r="J32" s="59">
        <v>35.613171444467575</v>
      </c>
      <c r="K32" s="59">
        <v>-119.86217366148753</v>
      </c>
      <c r="L32" s="59">
        <v>132.52753585414206</v>
      </c>
      <c r="M32" s="60">
        <v>-50.121996224349296</v>
      </c>
      <c r="N32" s="58">
        <v>48.931772490208331</v>
      </c>
      <c r="O32" s="58">
        <v>14.538125316153733</v>
      </c>
      <c r="P32" s="58">
        <v>5.8708986429617918</v>
      </c>
      <c r="Q32" s="58">
        <v>103.26172083562614</v>
      </c>
      <c r="R32" s="58">
        <v>-104.96455147002298</v>
      </c>
      <c r="S32" s="58">
        <v>32.294248706679497</v>
      </c>
      <c r="T32" s="59">
        <v>12.090570477173198</v>
      </c>
      <c r="U32" s="59">
        <v>182.84631119736849</v>
      </c>
      <c r="V32" s="59">
        <v>-205.77970394233068</v>
      </c>
      <c r="W32" s="59">
        <v>113.64299972881506</v>
      </c>
      <c r="X32" s="60">
        <v>-15.106864357362451</v>
      </c>
      <c r="Y32" s="59">
        <v>-6.7006709138246627</v>
      </c>
      <c r="Z32" s="60">
        <v>0.10512101587144684</v>
      </c>
      <c r="AA32" s="60">
        <v>526.86170045852225</v>
      </c>
      <c r="AB32" s="60">
        <v>-1495.7455767980059</v>
      </c>
      <c r="AC32" s="60">
        <v>2173.3306576550758</v>
      </c>
      <c r="AD32" s="60">
        <v>-1553.4838685853413</v>
      </c>
      <c r="AE32" s="60">
        <v>430.1175051377532</v>
      </c>
      <c r="AF32" s="58">
        <v>4.5999999999999996</v>
      </c>
      <c r="AG32" s="58">
        <v>3600</v>
      </c>
      <c r="AH32" s="58"/>
      <c r="AI32" s="57"/>
      <c r="AJ32" s="58"/>
    </row>
    <row r="33" spans="1:33" x14ac:dyDescent="0.3">
      <c r="A33" s="61" t="s">
        <v>59</v>
      </c>
      <c r="B33" s="111" t="s">
        <v>213</v>
      </c>
      <c r="C33" s="104" t="s">
        <v>280</v>
      </c>
      <c r="D33" s="63">
        <v>9.8000000000000007</v>
      </c>
      <c r="E33" s="62">
        <v>40</v>
      </c>
      <c r="F33" s="62">
        <v>960</v>
      </c>
      <c r="G33" s="62">
        <v>26.5</v>
      </c>
      <c r="H33">
        <v>3600.1797353039719</v>
      </c>
      <c r="I33">
        <v>-143.41845768645717</v>
      </c>
      <c r="J33">
        <v>-88.452555694875372</v>
      </c>
      <c r="K33">
        <v>3.1598964364500257</v>
      </c>
      <c r="L33">
        <v>153.56605472597909</v>
      </c>
      <c r="M33">
        <v>-98.53742502869747</v>
      </c>
      <c r="N33">
        <v>45.186255918473051</v>
      </c>
      <c r="O33">
        <v>9.1222107288634575</v>
      </c>
      <c r="P33">
        <v>87.418055285248656</v>
      </c>
      <c r="Q33">
        <v>-104.70461078960135</v>
      </c>
      <c r="R33">
        <v>88.75586433141271</v>
      </c>
      <c r="S33">
        <v>-25.7605183902152</v>
      </c>
      <c r="T33">
        <v>1.4655616384467294</v>
      </c>
      <c r="U33">
        <v>162.93578523940943</v>
      </c>
      <c r="V33">
        <v>56.284333230708796</v>
      </c>
      <c r="W33">
        <v>-469.59502192829217</v>
      </c>
      <c r="X33">
        <v>498.42695332035282</v>
      </c>
      <c r="Y33">
        <v>-168.05379686019063</v>
      </c>
      <c r="Z33">
        <v>-3.6650306793632126E-2</v>
      </c>
      <c r="AA33">
        <v>451.05142012344032</v>
      </c>
      <c r="AB33">
        <v>-979.42994668010954</v>
      </c>
      <c r="AC33">
        <v>1041.3489232992963</v>
      </c>
      <c r="AD33">
        <v>-526.27335880617807</v>
      </c>
      <c r="AE33">
        <v>96.287466483191253</v>
      </c>
      <c r="AF33">
        <v>4.5999999999999996</v>
      </c>
      <c r="AG33">
        <v>3600</v>
      </c>
    </row>
    <row r="34" spans="1:33" x14ac:dyDescent="0.3">
      <c r="A34" s="61" t="s">
        <v>59</v>
      </c>
      <c r="B34" s="112" t="s">
        <v>213</v>
      </c>
      <c r="C34" s="105" t="s">
        <v>281</v>
      </c>
      <c r="D34" s="64">
        <v>11.2</v>
      </c>
      <c r="E34" s="65">
        <v>45</v>
      </c>
      <c r="F34" s="65">
        <v>1080</v>
      </c>
      <c r="G34" s="64">
        <v>26.5</v>
      </c>
      <c r="H34">
        <v>3599.9482445427034</v>
      </c>
      <c r="I34">
        <v>-151.04933153774036</v>
      </c>
      <c r="J34">
        <v>95.884587754413658</v>
      </c>
      <c r="K34">
        <v>-225.5129112859106</v>
      </c>
      <c r="L34">
        <v>205.41014875216391</v>
      </c>
      <c r="M34">
        <v>-71.361487866795486</v>
      </c>
      <c r="N34">
        <v>42.666943469944869</v>
      </c>
      <c r="O34">
        <v>33.352139250808989</v>
      </c>
      <c r="P34">
        <v>-7.209140374780322</v>
      </c>
      <c r="Q34">
        <v>73.862698887715695</v>
      </c>
      <c r="R34">
        <v>-65.486010546885367</v>
      </c>
      <c r="S34">
        <v>22.88362794038748</v>
      </c>
      <c r="T34">
        <v>12.008873264092522</v>
      </c>
      <c r="U34">
        <v>226.82987722689126</v>
      </c>
      <c r="V34">
        <v>-389.96091048464945</v>
      </c>
      <c r="W34">
        <v>452.1853626202319</v>
      </c>
      <c r="X34">
        <v>-299.47706288066769</v>
      </c>
      <c r="Y34">
        <v>80.865014331758985</v>
      </c>
      <c r="Z34">
        <v>0.10365628477282485</v>
      </c>
      <c r="AA34">
        <v>544.5354531082296</v>
      </c>
      <c r="AB34">
        <v>-1467.0293727039063</v>
      </c>
      <c r="AC34">
        <v>1968.1164917074789</v>
      </c>
      <c r="AD34">
        <v>-1293.4848762083848</v>
      </c>
      <c r="AE34">
        <v>330.30360595600911</v>
      </c>
      <c r="AF34">
        <v>4.5999999999999996</v>
      </c>
      <c r="AG34">
        <v>3600</v>
      </c>
    </row>
    <row r="35" spans="1:33" x14ac:dyDescent="0.3">
      <c r="A35" s="61" t="s">
        <v>59</v>
      </c>
      <c r="B35" s="113" t="s">
        <v>213</v>
      </c>
      <c r="C35" s="106" t="s">
        <v>256</v>
      </c>
      <c r="D35" s="64">
        <v>12.5</v>
      </c>
      <c r="E35" s="66">
        <v>51</v>
      </c>
      <c r="F35" s="66">
        <v>1200</v>
      </c>
      <c r="G35" s="66">
        <v>26.5</v>
      </c>
      <c r="H35">
        <v>3600.0732294665895</v>
      </c>
      <c r="I35">
        <v>-188.50552562193081</v>
      </c>
      <c r="J35">
        <v>174.3327587321522</v>
      </c>
      <c r="K35">
        <v>-454.94878006924154</v>
      </c>
      <c r="L35">
        <v>406.35604176937807</v>
      </c>
      <c r="M35">
        <v>-128.28472109517946</v>
      </c>
      <c r="N35">
        <v>37.483966800996079</v>
      </c>
      <c r="O35">
        <v>19.013913566804252</v>
      </c>
      <c r="P35">
        <v>101.22974968086083</v>
      </c>
      <c r="Q35">
        <v>-187.08304920431266</v>
      </c>
      <c r="R35">
        <v>220.42857385905961</v>
      </c>
      <c r="S35">
        <v>-91.115905427807633</v>
      </c>
      <c r="T35">
        <v>13.528174037613852</v>
      </c>
      <c r="U35">
        <v>264.76533184029398</v>
      </c>
      <c r="V35">
        <v>-617.37976503944094</v>
      </c>
      <c r="W35">
        <v>927.67733576563</v>
      </c>
      <c r="X35">
        <v>-721.71759090996113</v>
      </c>
      <c r="Y35">
        <v>216.94352084433763</v>
      </c>
      <c r="Z35">
        <v>0.23633447571199895</v>
      </c>
      <c r="AA35">
        <v>680.26317908600242</v>
      </c>
      <c r="AB35">
        <v>-2229.3880500474743</v>
      </c>
      <c r="AC35">
        <v>3517.3265080076926</v>
      </c>
      <c r="AD35">
        <v>-2647.2555162513495</v>
      </c>
      <c r="AE35">
        <v>760.37572520022832</v>
      </c>
      <c r="AF35">
        <v>4.5999999999999996</v>
      </c>
      <c r="AG35">
        <v>3600</v>
      </c>
    </row>
    <row r="36" spans="1:33" x14ac:dyDescent="0.3">
      <c r="A36" s="61" t="s">
        <v>59</v>
      </c>
      <c r="B36" s="113" t="s">
        <v>213</v>
      </c>
      <c r="C36" s="106" t="s">
        <v>282</v>
      </c>
      <c r="D36" s="64">
        <v>13.8</v>
      </c>
      <c r="E36" s="66">
        <v>64</v>
      </c>
      <c r="F36" s="66">
        <v>1500</v>
      </c>
      <c r="G36" s="66">
        <v>27.8</v>
      </c>
      <c r="H36">
        <v>3599.999960600057</v>
      </c>
      <c r="I36">
        <v>-147.38432138172166</v>
      </c>
      <c r="J36">
        <v>-90.541562565228304</v>
      </c>
      <c r="K36">
        <v>244.97806664691331</v>
      </c>
      <c r="L36">
        <v>-291.44147368848229</v>
      </c>
      <c r="M36">
        <v>111.59849794052735</v>
      </c>
      <c r="N36">
        <v>39.556882576034702</v>
      </c>
      <c r="O36">
        <v>27.102085945047275</v>
      </c>
      <c r="P36">
        <v>-7.056854952027547</v>
      </c>
      <c r="Q36">
        <v>153.62687741392628</v>
      </c>
      <c r="R36">
        <v>-180.76075874188172</v>
      </c>
      <c r="S36">
        <v>67.634050151206452</v>
      </c>
      <c r="T36">
        <v>10.792926996166123</v>
      </c>
      <c r="U36">
        <v>204.80015615274777</v>
      </c>
      <c r="V36">
        <v>-309.88028805831408</v>
      </c>
      <c r="W36">
        <v>336.59910031131949</v>
      </c>
      <c r="X36">
        <v>-216.83466228165494</v>
      </c>
      <c r="Y36">
        <v>57.588325342442346</v>
      </c>
      <c r="Z36">
        <v>3.419806619771748E-2</v>
      </c>
      <c r="AA36">
        <v>614.4728459642314</v>
      </c>
      <c r="AB36">
        <v>-1807.5054268280944</v>
      </c>
      <c r="AC36">
        <v>2607.9324525362476</v>
      </c>
      <c r="AD36">
        <v>-1820.9803988073077</v>
      </c>
      <c r="AE36">
        <v>489.96578286377138</v>
      </c>
      <c r="AF36">
        <v>4.5999999999999996</v>
      </c>
      <c r="AG36">
        <v>3600</v>
      </c>
    </row>
    <row r="37" spans="1:33" x14ac:dyDescent="0.3">
      <c r="A37" s="61" t="s">
        <v>59</v>
      </c>
      <c r="B37" s="111" t="s">
        <v>213</v>
      </c>
      <c r="C37" s="106" t="s">
        <v>283</v>
      </c>
      <c r="D37" s="63">
        <v>15.1</v>
      </c>
      <c r="E37" s="62">
        <v>72</v>
      </c>
      <c r="F37" s="62">
        <v>1680</v>
      </c>
      <c r="G37" s="62">
        <v>27.8</v>
      </c>
      <c r="H37">
        <v>3599.9985291195812</v>
      </c>
      <c r="I37">
        <v>-213.30450672477883</v>
      </c>
      <c r="J37">
        <v>476.60577819318701</v>
      </c>
      <c r="K37">
        <v>-1199.9794087520793</v>
      </c>
      <c r="L37">
        <v>1193.441910396956</v>
      </c>
      <c r="M37">
        <v>-436.67805877986308</v>
      </c>
      <c r="N37">
        <v>46.667019092342379</v>
      </c>
      <c r="O37">
        <v>26.541101376458638</v>
      </c>
      <c r="P37">
        <v>-60.267424323860496</v>
      </c>
      <c r="Q37">
        <v>264.66106515271093</v>
      </c>
      <c r="R37">
        <v>-284.52602697854201</v>
      </c>
      <c r="S37">
        <v>106.95847657628626</v>
      </c>
      <c r="T37">
        <v>10.10022567803993</v>
      </c>
      <c r="U37">
        <v>194.38958328806893</v>
      </c>
      <c r="V37">
        <v>-244.159809206739</v>
      </c>
      <c r="W37">
        <v>231.39316913822921</v>
      </c>
      <c r="X37">
        <v>-156.99652891934039</v>
      </c>
      <c r="Y37">
        <v>48.01773492982479</v>
      </c>
      <c r="Z37">
        <v>8.5624184009702731E-6</v>
      </c>
      <c r="AA37">
        <v>494.68543528950568</v>
      </c>
      <c r="AB37">
        <v>-1208.328356785923</v>
      </c>
      <c r="AC37">
        <v>1484.9954581055247</v>
      </c>
      <c r="AD37">
        <v>-900.01153070703629</v>
      </c>
      <c r="AE37">
        <v>212.38299775108356</v>
      </c>
      <c r="AF37">
        <v>4.5999999999999996</v>
      </c>
      <c r="AG37">
        <v>3600</v>
      </c>
    </row>
    <row r="38" spans="1:33" x14ac:dyDescent="0.3">
      <c r="A38" s="61" t="s">
        <v>59</v>
      </c>
      <c r="B38" s="111" t="s">
        <v>213</v>
      </c>
      <c r="C38" s="104" t="s">
        <v>284</v>
      </c>
      <c r="D38" s="63">
        <v>16.100000000000001</v>
      </c>
      <c r="E38" s="62">
        <v>80</v>
      </c>
      <c r="F38" s="62">
        <v>1740</v>
      </c>
      <c r="G38" s="62">
        <v>29</v>
      </c>
      <c r="H38">
        <v>3600.0003972302779</v>
      </c>
      <c r="I38">
        <v>-296.45371461892142</v>
      </c>
      <c r="J38">
        <v>619.39854885527575</v>
      </c>
      <c r="K38">
        <v>-1193.585074856562</v>
      </c>
      <c r="L38">
        <v>1031.4214254293895</v>
      </c>
      <c r="M38">
        <v>-341.05074061564278</v>
      </c>
      <c r="N38">
        <v>39.311243190767378</v>
      </c>
      <c r="O38">
        <v>-8.3286820617042387</v>
      </c>
      <c r="P38">
        <v>239.57472190248612</v>
      </c>
      <c r="Q38">
        <v>-397.21760075105482</v>
      </c>
      <c r="R38">
        <v>317.25715524443757</v>
      </c>
      <c r="S38">
        <v>-90.730218429194579</v>
      </c>
      <c r="T38">
        <v>11.599885271651125</v>
      </c>
      <c r="U38">
        <v>191.54839853267822</v>
      </c>
      <c r="V38">
        <v>-128.78416909016516</v>
      </c>
      <c r="W38">
        <v>-117.25875983908246</v>
      </c>
      <c r="X38">
        <v>199.38415964593526</v>
      </c>
      <c r="Y38">
        <v>-73.039351470384602</v>
      </c>
      <c r="Z38">
        <v>3.4296560644975216E-4</v>
      </c>
      <c r="AA38">
        <v>590.39812941247123</v>
      </c>
      <c r="AB38">
        <v>-1660.863655070287</v>
      </c>
      <c r="AC38">
        <v>2304.6013678247446</v>
      </c>
      <c r="AD38">
        <v>-1562.8284889569804</v>
      </c>
      <c r="AE38">
        <v>411.54685451578496</v>
      </c>
      <c r="AF38">
        <v>4.5999999999999996</v>
      </c>
      <c r="AG38">
        <v>3600</v>
      </c>
    </row>
    <row r="39" spans="1:33" x14ac:dyDescent="0.3">
      <c r="A39" s="61" t="s">
        <v>59</v>
      </c>
      <c r="B39" s="111" t="s">
        <v>213</v>
      </c>
      <c r="C39" s="104" t="s">
        <v>285</v>
      </c>
      <c r="D39" s="63">
        <v>17.399999999999999</v>
      </c>
      <c r="E39" s="62">
        <v>90</v>
      </c>
      <c r="F39" s="62">
        <v>1680</v>
      </c>
      <c r="G39" s="62">
        <v>36</v>
      </c>
      <c r="H39">
        <v>3600.0023484791964</v>
      </c>
      <c r="I39">
        <v>-127.61407581768707</v>
      </c>
      <c r="J39">
        <v>-134.34385709759002</v>
      </c>
      <c r="K39">
        <v>419.14806289267943</v>
      </c>
      <c r="L39">
        <v>-464.95141197685518</v>
      </c>
      <c r="M39">
        <v>170.5161208079071</v>
      </c>
      <c r="N39">
        <v>50.750962069262556</v>
      </c>
      <c r="O39">
        <v>110.98357441450729</v>
      </c>
      <c r="P39">
        <v>-547.7352438203859</v>
      </c>
      <c r="Q39">
        <v>1203.2128183589268</v>
      </c>
      <c r="R39">
        <v>-1035.6053138112177</v>
      </c>
      <c r="S39">
        <v>318.22708857180709</v>
      </c>
      <c r="T39">
        <v>10.500335418583717</v>
      </c>
      <c r="U39">
        <v>127.02377193172745</v>
      </c>
      <c r="V39">
        <v>29.823286729398305</v>
      </c>
      <c r="W39">
        <v>-252.55443692779912</v>
      </c>
      <c r="X39">
        <v>237.63869802216215</v>
      </c>
      <c r="Y39">
        <v>-72.393451240217445</v>
      </c>
      <c r="Z39">
        <v>5.1564639164780601E-4</v>
      </c>
      <c r="AA39">
        <v>497.93914335125783</v>
      </c>
      <c r="AB39">
        <v>-1274.4912958964817</v>
      </c>
      <c r="AC39">
        <v>1685.6488898522507</v>
      </c>
      <c r="AD39">
        <v>-1114.7567271448977</v>
      </c>
      <c r="AE39">
        <v>289.30924089451514</v>
      </c>
      <c r="AF39">
        <v>4.5999999999999996</v>
      </c>
      <c r="AG39">
        <v>3600</v>
      </c>
    </row>
    <row r="40" spans="1:33" x14ac:dyDescent="0.3">
      <c r="A40" s="61" t="s">
        <v>59</v>
      </c>
      <c r="B40" s="111" t="s">
        <v>213</v>
      </c>
      <c r="C40" s="104" t="s">
        <v>286</v>
      </c>
      <c r="D40" s="63">
        <v>20</v>
      </c>
      <c r="E40" s="62">
        <v>101</v>
      </c>
      <c r="F40" s="62">
        <v>2280</v>
      </c>
      <c r="G40" s="62">
        <v>28</v>
      </c>
      <c r="H40">
        <v>3600.0623914451744</v>
      </c>
      <c r="I40">
        <v>-166.33917786793674</v>
      </c>
      <c r="J40">
        <v>16.818230618416404</v>
      </c>
      <c r="K40">
        <v>-95.652397256519791</v>
      </c>
      <c r="L40">
        <v>137.21558290111744</v>
      </c>
      <c r="M40">
        <v>-68.301509083563317</v>
      </c>
      <c r="N40">
        <v>44.761721789649442</v>
      </c>
      <c r="O40">
        <v>3.6642493584143426E-2</v>
      </c>
      <c r="P40">
        <v>111.77114692855206</v>
      </c>
      <c r="Q40">
        <v>-70.72454881312315</v>
      </c>
      <c r="R40">
        <v>-2.4369221087177722</v>
      </c>
      <c r="S40">
        <v>16.273762223915544</v>
      </c>
      <c r="T40">
        <v>11.971436554036167</v>
      </c>
      <c r="U40">
        <v>189.2158695879491</v>
      </c>
      <c r="V40">
        <v>-213.89422072247532</v>
      </c>
      <c r="W40">
        <v>140.90075360358793</v>
      </c>
      <c r="X40">
        <v>-60.520013939877863</v>
      </c>
      <c r="Y40">
        <v>14.451623015264101</v>
      </c>
      <c r="Z40">
        <v>2.0536082084696261E-2</v>
      </c>
      <c r="AA40">
        <v>457.14284635072602</v>
      </c>
      <c r="AB40">
        <v>-1018.4150007967312</v>
      </c>
      <c r="AC40">
        <v>1139.7838952258762</v>
      </c>
      <c r="AD40">
        <v>-632.79285197598051</v>
      </c>
      <c r="AE40">
        <v>137.20433434811432</v>
      </c>
      <c r="AF40">
        <v>4.5999999999999996</v>
      </c>
      <c r="AG40">
        <v>3600</v>
      </c>
    </row>
    <row r="41" spans="1:33" x14ac:dyDescent="0.3">
      <c r="A41" s="61" t="s">
        <v>59</v>
      </c>
      <c r="B41" s="111" t="s">
        <v>213</v>
      </c>
      <c r="C41" s="104" t="s">
        <v>287</v>
      </c>
      <c r="D41" s="63">
        <v>21.3</v>
      </c>
      <c r="E41" s="62">
        <v>113</v>
      </c>
      <c r="F41" s="62">
        <v>2400</v>
      </c>
      <c r="G41" s="62">
        <v>29.5</v>
      </c>
      <c r="H41">
        <v>3599.9959227247914</v>
      </c>
      <c r="I41">
        <v>-72.401381809496158</v>
      </c>
      <c r="J41">
        <v>-462.08012362189191</v>
      </c>
      <c r="K41">
        <v>831.416134794404</v>
      </c>
      <c r="L41">
        <v>-650.1701353733738</v>
      </c>
      <c r="M41">
        <v>173.53010385820068</v>
      </c>
      <c r="N41">
        <v>39.333792527585132</v>
      </c>
      <c r="O41">
        <v>-52.205751756814379</v>
      </c>
      <c r="P41">
        <v>429.56897346157996</v>
      </c>
      <c r="Q41">
        <v>-747.40340846125582</v>
      </c>
      <c r="R41">
        <v>621.37024350233776</v>
      </c>
      <c r="S41">
        <v>-190.68640714691389</v>
      </c>
      <c r="T41">
        <v>11.199539170677411</v>
      </c>
      <c r="U41">
        <v>206.61322995304045</v>
      </c>
      <c r="V41">
        <v>-240.81704385099837</v>
      </c>
      <c r="W41">
        <v>142.49836011928693</v>
      </c>
      <c r="X41">
        <v>-35.756200440401379</v>
      </c>
      <c r="Y41">
        <v>1.278831352936491</v>
      </c>
      <c r="Z41">
        <v>1.0010342956832119E-3</v>
      </c>
      <c r="AA41">
        <v>547.00179928778141</v>
      </c>
      <c r="AB41">
        <v>-1471.4565896149836</v>
      </c>
      <c r="AC41">
        <v>1978.1924373375568</v>
      </c>
      <c r="AD41">
        <v>-1307.854356199874</v>
      </c>
      <c r="AE41">
        <v>335.97440040365592</v>
      </c>
      <c r="AF41">
        <v>4.5999999999999996</v>
      </c>
      <c r="AG41">
        <v>3600</v>
      </c>
    </row>
    <row r="42" spans="1:33" x14ac:dyDescent="0.3">
      <c r="A42" s="61" t="s">
        <v>59</v>
      </c>
      <c r="B42" s="111" t="s">
        <v>213</v>
      </c>
      <c r="C42" s="104" t="s">
        <v>288</v>
      </c>
      <c r="D42" s="63">
        <v>22.3</v>
      </c>
      <c r="E42" s="62">
        <v>129</v>
      </c>
      <c r="F42" s="62">
        <v>2520</v>
      </c>
      <c r="G42" s="63">
        <v>32</v>
      </c>
      <c r="H42">
        <v>3599.841607447916</v>
      </c>
      <c r="I42">
        <v>-146.37229743133014</v>
      </c>
      <c r="J42">
        <v>-40.899887235850599</v>
      </c>
      <c r="K42">
        <v>181.22379173483188</v>
      </c>
      <c r="L42">
        <v>-287.39348040841202</v>
      </c>
      <c r="M42">
        <v>114.00559015483232</v>
      </c>
      <c r="N42">
        <v>36.635045919988222</v>
      </c>
      <c r="O42">
        <v>16.844319288281692</v>
      </c>
      <c r="P42">
        <v>45.514237135527772</v>
      </c>
      <c r="Q42">
        <v>37.321321718476035</v>
      </c>
      <c r="R42">
        <v>-62.351632819092814</v>
      </c>
      <c r="S42">
        <v>26.120505916502701</v>
      </c>
      <c r="T42">
        <v>11.981940041608137</v>
      </c>
      <c r="U42">
        <v>254.22009745545017</v>
      </c>
      <c r="V42">
        <v>-426.26462234871229</v>
      </c>
      <c r="W42">
        <v>430.91358513024187</v>
      </c>
      <c r="X42">
        <v>-241.85269487022671</v>
      </c>
      <c r="Y42">
        <v>56.569643158554051</v>
      </c>
      <c r="Z42">
        <v>0.24011354566965792</v>
      </c>
      <c r="AA42">
        <v>642.70708262435846</v>
      </c>
      <c r="AB42">
        <v>-1997.5890208320366</v>
      </c>
      <c r="AC42">
        <v>3008.1560368865421</v>
      </c>
      <c r="AD42">
        <v>-2164.6307928283845</v>
      </c>
      <c r="AE42">
        <v>592.9798102217228</v>
      </c>
      <c r="AF42">
        <v>4.5999999999999996</v>
      </c>
      <c r="AG42">
        <v>3600</v>
      </c>
    </row>
    <row r="43" spans="1:33" x14ac:dyDescent="0.3">
      <c r="A43" s="61" t="s">
        <v>59</v>
      </c>
      <c r="B43" s="111" t="s">
        <v>213</v>
      </c>
      <c r="C43" s="104" t="s">
        <v>289</v>
      </c>
      <c r="D43" s="63">
        <v>24.9</v>
      </c>
      <c r="E43" s="62">
        <v>145</v>
      </c>
      <c r="F43" s="62">
        <v>2400</v>
      </c>
      <c r="G43" s="62">
        <v>38.4</v>
      </c>
      <c r="H43">
        <v>3599.9927421456673</v>
      </c>
      <c r="I43">
        <v>-185.85125153473746</v>
      </c>
      <c r="J43">
        <v>148.27502469937298</v>
      </c>
      <c r="K43">
        <v>-398.00106837309824</v>
      </c>
      <c r="L43">
        <v>435.57438101879461</v>
      </c>
      <c r="M43">
        <v>-165.67532519903705</v>
      </c>
      <c r="N43">
        <v>42.699995864307418</v>
      </c>
      <c r="O43">
        <v>29.576056062980523</v>
      </c>
      <c r="P43">
        <v>-26.135894741220234</v>
      </c>
      <c r="Q43">
        <v>131.31261602285713</v>
      </c>
      <c r="R43">
        <v>-100.64930686171412</v>
      </c>
      <c r="S43">
        <v>23.232477018662308</v>
      </c>
      <c r="T43">
        <v>10.392479727785682</v>
      </c>
      <c r="U43">
        <v>222.0245626507095</v>
      </c>
      <c r="V43">
        <v>-325.63992288970718</v>
      </c>
      <c r="W43">
        <v>274.98586938878043</v>
      </c>
      <c r="X43">
        <v>-118.6929747639801</v>
      </c>
      <c r="Y43">
        <v>18.079706855303897</v>
      </c>
      <c r="Z43">
        <v>3.5745103584389426E-2</v>
      </c>
      <c r="AA43">
        <v>606.24313004673206</v>
      </c>
      <c r="AB43">
        <v>-1820.7558201724373</v>
      </c>
      <c r="AC43">
        <v>2686.9429860481414</v>
      </c>
      <c r="AD43">
        <v>-1915.4657590688562</v>
      </c>
      <c r="AE43">
        <v>525.21333415544007</v>
      </c>
      <c r="AF43">
        <v>4.5999999999999996</v>
      </c>
      <c r="AG43">
        <v>3600</v>
      </c>
    </row>
    <row r="44" spans="1:33" x14ac:dyDescent="0.3">
      <c r="A44" s="61" t="s">
        <v>59</v>
      </c>
      <c r="B44" s="111" t="s">
        <v>213</v>
      </c>
      <c r="C44" s="104" t="s">
        <v>290</v>
      </c>
      <c r="D44" s="63">
        <v>24.9</v>
      </c>
      <c r="E44" s="62">
        <v>161</v>
      </c>
      <c r="F44" s="62">
        <v>2400</v>
      </c>
      <c r="G44" s="62">
        <v>42</v>
      </c>
      <c r="H44">
        <v>3599.9798772559643</v>
      </c>
      <c r="I44">
        <v>-157.74672356945405</v>
      </c>
      <c r="J44">
        <v>17.084204544273852</v>
      </c>
      <c r="K44">
        <v>18.734632971899515</v>
      </c>
      <c r="L44">
        <v>-148.28672163402538</v>
      </c>
      <c r="M44">
        <v>75.672146827691961</v>
      </c>
      <c r="N44">
        <v>38.142957346786886</v>
      </c>
      <c r="O44">
        <v>38.512544219638649</v>
      </c>
      <c r="P44">
        <v>9.3090591197450063</v>
      </c>
      <c r="Q44">
        <v>12.441458887065416</v>
      </c>
      <c r="R44">
        <v>5.9393387727253391</v>
      </c>
      <c r="S44">
        <v>-4.6052700532905915</v>
      </c>
      <c r="T44">
        <v>11.625587269939007</v>
      </c>
      <c r="U44">
        <v>250.43678678274986</v>
      </c>
      <c r="V44">
        <v>-400.991066675914</v>
      </c>
      <c r="W44">
        <v>345.06686770952251</v>
      </c>
      <c r="X44">
        <v>-143.17484836855462</v>
      </c>
      <c r="Y44">
        <v>20.786968951969058</v>
      </c>
      <c r="Z44">
        <v>0.19907659941469547</v>
      </c>
      <c r="AA44">
        <v>692.52556873273613</v>
      </c>
      <c r="AB44">
        <v>-2284.4333237384103</v>
      </c>
      <c r="AC44">
        <v>3627.6055662152712</v>
      </c>
      <c r="AD44">
        <v>-2748.6918845855239</v>
      </c>
      <c r="AE44">
        <v>794.42890423316976</v>
      </c>
      <c r="AF44">
        <v>4.5999999999999996</v>
      </c>
      <c r="AG44">
        <v>3600</v>
      </c>
    </row>
    <row r="45" spans="1:33" x14ac:dyDescent="0.3">
      <c r="A45" s="61" t="s">
        <v>59</v>
      </c>
      <c r="B45" s="111" t="s">
        <v>213</v>
      </c>
      <c r="C45" s="104" t="s">
        <v>291</v>
      </c>
      <c r="D45" s="63">
        <v>28.5</v>
      </c>
      <c r="E45" s="62">
        <v>201</v>
      </c>
      <c r="F45" s="62">
        <v>2520</v>
      </c>
      <c r="G45" s="62">
        <v>50</v>
      </c>
      <c r="H45">
        <v>3599.8035007952876</v>
      </c>
      <c r="I45">
        <v>-214.82756090810474</v>
      </c>
      <c r="J45">
        <v>129.90581384741006</v>
      </c>
      <c r="K45">
        <v>-199.11269739932536</v>
      </c>
      <c r="L45">
        <v>157.92724617251386</v>
      </c>
      <c r="M45">
        <v>-53.148919795385446</v>
      </c>
      <c r="N45">
        <v>43.061861973975581</v>
      </c>
      <c r="O45">
        <v>27.459716053070622</v>
      </c>
      <c r="P45">
        <v>56.575486557728389</v>
      </c>
      <c r="Q45">
        <v>-83.089758258587722</v>
      </c>
      <c r="R45">
        <v>87.823413845852784</v>
      </c>
      <c r="S45">
        <v>-32.355851845019359</v>
      </c>
      <c r="T45">
        <v>15.06384571122434</v>
      </c>
      <c r="U45">
        <v>152.70342773090178</v>
      </c>
      <c r="V45">
        <v>-81.553348205804369</v>
      </c>
      <c r="W45">
        <v>-59.316551893320103</v>
      </c>
      <c r="X45">
        <v>75.471784656910046</v>
      </c>
      <c r="Y45">
        <v>-20.083047728864027</v>
      </c>
      <c r="Z45">
        <v>0.28389731951881458</v>
      </c>
      <c r="AA45">
        <v>680.98791228852917</v>
      </c>
      <c r="AB45">
        <v>-2183.2535200023785</v>
      </c>
      <c r="AC45">
        <v>3374.8591070132074</v>
      </c>
      <c r="AD45">
        <v>-2492.5771556729624</v>
      </c>
      <c r="AE45">
        <v>702.0730898057044</v>
      </c>
      <c r="AF45">
        <v>4.5999999999999996</v>
      </c>
      <c r="AG45">
        <v>3600</v>
      </c>
    </row>
    <row r="46" spans="1:33" x14ac:dyDescent="0.3">
      <c r="A46" s="61" t="s">
        <v>59</v>
      </c>
      <c r="B46" s="111" t="s">
        <v>213</v>
      </c>
      <c r="C46" s="104" t="s">
        <v>292</v>
      </c>
      <c r="D46" s="63">
        <v>34.5</v>
      </c>
      <c r="E46" s="62">
        <v>201</v>
      </c>
      <c r="F46" s="62">
        <v>1920</v>
      </c>
      <c r="G46" s="62">
        <v>66.5</v>
      </c>
      <c r="H46">
        <v>3600.0466779425983</v>
      </c>
      <c r="I46">
        <v>-227.55310884861376</v>
      </c>
      <c r="J46">
        <v>205.75493717152054</v>
      </c>
      <c r="K46">
        <v>-339.40629911866733</v>
      </c>
      <c r="L46">
        <v>269.3382159926993</v>
      </c>
      <c r="M46">
        <v>-80.735261541227999</v>
      </c>
      <c r="N46">
        <v>36.061597109721085</v>
      </c>
      <c r="O46">
        <v>30.085430267887784</v>
      </c>
      <c r="P46">
        <v>11.153073215555064</v>
      </c>
      <c r="Q46">
        <v>102.37721640279233</v>
      </c>
      <c r="R46">
        <v>-141.77662472229269</v>
      </c>
      <c r="S46">
        <v>61.978968345507077</v>
      </c>
      <c r="T46">
        <v>14.982419734609071</v>
      </c>
      <c r="U46">
        <v>186.47074653862543</v>
      </c>
      <c r="V46">
        <v>-171.77966029198257</v>
      </c>
      <c r="W46">
        <v>5.6433001271790681</v>
      </c>
      <c r="X46">
        <v>88.681096476317435</v>
      </c>
      <c r="Y46">
        <v>-40.49898500290837</v>
      </c>
      <c r="Z46">
        <v>5.2396326825089545E-2</v>
      </c>
      <c r="AA46">
        <v>585.98326842434267</v>
      </c>
      <c r="AB46">
        <v>-1696.3260936806528</v>
      </c>
      <c r="AC46">
        <v>2447.5848224865272</v>
      </c>
      <c r="AD46">
        <v>-1725.0343306017432</v>
      </c>
      <c r="AE46">
        <v>470.36566495138493</v>
      </c>
      <c r="AF46">
        <v>4.5999999999999996</v>
      </c>
      <c r="AG46">
        <v>3600</v>
      </c>
    </row>
    <row r="47" spans="1:33" x14ac:dyDescent="0.3">
      <c r="A47" s="61" t="s">
        <v>59</v>
      </c>
      <c r="B47" s="111" t="s">
        <v>213</v>
      </c>
      <c r="C47" s="104" t="s">
        <v>273</v>
      </c>
      <c r="D47" s="63">
        <v>34.5</v>
      </c>
      <c r="E47" s="62">
        <v>201</v>
      </c>
      <c r="F47" s="62">
        <v>2760</v>
      </c>
      <c r="G47" s="62">
        <v>47</v>
      </c>
      <c r="H47">
        <v>3599.7634079660415</v>
      </c>
      <c r="I47">
        <v>-190.36564928886591</v>
      </c>
      <c r="J47">
        <v>82.981649419481315</v>
      </c>
      <c r="K47">
        <v>-198.0769475475513</v>
      </c>
      <c r="L47">
        <v>242.55071300505972</v>
      </c>
      <c r="M47">
        <v>-98.633519570365124</v>
      </c>
      <c r="N47">
        <v>40.002011989656495</v>
      </c>
      <c r="O47">
        <v>21.106968451544798</v>
      </c>
      <c r="P47">
        <v>24.874765442978688</v>
      </c>
      <c r="Q47">
        <v>77.638805367927333</v>
      </c>
      <c r="R47">
        <v>-102.04443397466626</v>
      </c>
      <c r="S47">
        <v>38.413909255908315</v>
      </c>
      <c r="T47">
        <v>10.983434741478399</v>
      </c>
      <c r="U47">
        <v>191.03586510220367</v>
      </c>
      <c r="V47">
        <v>-185.19363340786839</v>
      </c>
      <c r="W47">
        <v>32.397201871699252</v>
      </c>
      <c r="X47">
        <v>62.547486490975103</v>
      </c>
      <c r="Y47">
        <v>-30.683049256700794</v>
      </c>
      <c r="Z47">
        <v>0.16143593143672774</v>
      </c>
      <c r="AA47">
        <v>574.62128984204776</v>
      </c>
      <c r="AB47">
        <v>-1690.6005191946047</v>
      </c>
      <c r="AC47">
        <v>2515.3910612049549</v>
      </c>
      <c r="AD47">
        <v>-1830.4416466967723</v>
      </c>
      <c r="AE47">
        <v>513.32204421471329</v>
      </c>
      <c r="AF47">
        <v>4.5999999999999996</v>
      </c>
      <c r="AG47">
        <v>3600</v>
      </c>
    </row>
    <row r="48" spans="1:33" x14ac:dyDescent="0.3">
      <c r="A48" s="61" t="s">
        <v>59</v>
      </c>
      <c r="B48" s="111" t="s">
        <v>213</v>
      </c>
      <c r="C48" s="104" t="s">
        <v>293</v>
      </c>
      <c r="D48" s="63">
        <v>39.700000000000003</v>
      </c>
      <c r="E48" s="62">
        <v>225</v>
      </c>
      <c r="F48" s="62">
        <v>2280</v>
      </c>
      <c r="G48" s="62">
        <v>63.5</v>
      </c>
      <c r="H48">
        <v>3599.9204530107686</v>
      </c>
      <c r="I48">
        <v>-143.60498454294441</v>
      </c>
      <c r="J48">
        <v>-135.17349724338513</v>
      </c>
      <c r="K48">
        <v>398.53856672682275</v>
      </c>
      <c r="L48">
        <v>-411.82538062490846</v>
      </c>
      <c r="M48">
        <v>133.94519690986348</v>
      </c>
      <c r="N48">
        <v>48.497734545313826</v>
      </c>
      <c r="O48">
        <v>24.876451216845336</v>
      </c>
      <c r="P48">
        <v>-92.615155318133588</v>
      </c>
      <c r="Q48">
        <v>354.73007528215294</v>
      </c>
      <c r="R48">
        <v>-382.87567425092226</v>
      </c>
      <c r="S48">
        <v>147.29600484776657</v>
      </c>
      <c r="T48">
        <v>10.011456110959079</v>
      </c>
      <c r="U48">
        <v>171.75655325495001</v>
      </c>
      <c r="V48">
        <v>-112.43507877565642</v>
      </c>
      <c r="W48">
        <v>-38.813774307434166</v>
      </c>
      <c r="X48">
        <v>72.409799293381468</v>
      </c>
      <c r="Y48">
        <v>-21.922124025232716</v>
      </c>
      <c r="Z48">
        <v>6.1105397049885823E-2</v>
      </c>
      <c r="AA48">
        <v>591.1164456875872</v>
      </c>
      <c r="AB48">
        <v>-1750.654371274821</v>
      </c>
      <c r="AC48">
        <v>2567.6974491259193</v>
      </c>
      <c r="AD48">
        <v>-1820.1468772458413</v>
      </c>
      <c r="AE48">
        <v>495.19654849599038</v>
      </c>
      <c r="AF48">
        <v>4.5999999999999996</v>
      </c>
      <c r="AG48">
        <v>3600</v>
      </c>
    </row>
    <row r="49" spans="1:33" x14ac:dyDescent="0.3">
      <c r="A49" s="61" t="s">
        <v>59</v>
      </c>
      <c r="B49" s="111" t="s">
        <v>213</v>
      </c>
      <c r="C49" s="104" t="s">
        <v>294</v>
      </c>
      <c r="D49" s="63">
        <v>42.3</v>
      </c>
      <c r="E49" s="62">
        <v>241</v>
      </c>
      <c r="F49" s="62">
        <v>2400</v>
      </c>
      <c r="G49" s="62">
        <v>64</v>
      </c>
      <c r="H49">
        <v>3600.0486837675689</v>
      </c>
      <c r="I49">
        <v>-160.05410438395506</v>
      </c>
      <c r="J49">
        <v>5.0596331868212063</v>
      </c>
      <c r="K49">
        <v>-85.618227772833905</v>
      </c>
      <c r="L49">
        <v>128.51684049571202</v>
      </c>
      <c r="M49">
        <v>-53.766861581363251</v>
      </c>
      <c r="N49">
        <v>42.352129744706389</v>
      </c>
      <c r="O49">
        <v>17.181072863041749</v>
      </c>
      <c r="P49">
        <v>60.100789399577138</v>
      </c>
      <c r="Q49">
        <v>-19.329643383030387</v>
      </c>
      <c r="R49">
        <v>-13.51246336524544</v>
      </c>
      <c r="S49">
        <v>13.314536129880592</v>
      </c>
      <c r="T49">
        <v>10.634508695267101</v>
      </c>
      <c r="U49">
        <v>212.56199627055872</v>
      </c>
      <c r="V49">
        <v>-205.44632413516607</v>
      </c>
      <c r="W49">
        <v>30.504238031609695</v>
      </c>
      <c r="X49">
        <v>64.636276678137278</v>
      </c>
      <c r="Y49">
        <v>-27.974515214308969</v>
      </c>
      <c r="Z49">
        <v>4.668366949469771E-2</v>
      </c>
      <c r="AA49">
        <v>500.55435939049528</v>
      </c>
      <c r="AB49">
        <v>-1235.854690768512</v>
      </c>
      <c r="AC49">
        <v>1557.5283578266447</v>
      </c>
      <c r="AD49">
        <v>-983.8998950348622</v>
      </c>
      <c r="AE49">
        <v>245.03824186346282</v>
      </c>
      <c r="AF49">
        <v>4.5999999999999996</v>
      </c>
      <c r="AG49">
        <v>3600</v>
      </c>
    </row>
    <row r="50" spans="1:33" x14ac:dyDescent="0.3">
      <c r="A50" s="61" t="s">
        <v>59</v>
      </c>
      <c r="B50" s="111" t="s">
        <v>213</v>
      </c>
      <c r="C50" s="104" t="s">
        <v>295</v>
      </c>
      <c r="D50" s="63">
        <v>44.6</v>
      </c>
      <c r="E50" s="62">
        <v>257</v>
      </c>
      <c r="F50" s="62">
        <v>2520</v>
      </c>
      <c r="G50" s="62">
        <v>63.5</v>
      </c>
      <c r="H50">
        <v>3600.0567061358215</v>
      </c>
      <c r="I50">
        <v>-152.70643175882998</v>
      </c>
      <c r="J50">
        <v>-28.702680995118335</v>
      </c>
      <c r="K50">
        <v>28.886353637739649</v>
      </c>
      <c r="L50">
        <v>-30.859473820668565</v>
      </c>
      <c r="M50">
        <v>10.452890294508677</v>
      </c>
      <c r="N50">
        <v>40.342928462936882</v>
      </c>
      <c r="O50">
        <v>16.821431192918723</v>
      </c>
      <c r="P50">
        <v>76.714122841689758</v>
      </c>
      <c r="Q50">
        <v>-103.90123743364632</v>
      </c>
      <c r="R50">
        <v>103.13587045826345</v>
      </c>
      <c r="S50">
        <v>-33.179187315095632</v>
      </c>
      <c r="T50">
        <v>1.9572919385557341</v>
      </c>
      <c r="U50">
        <v>235.91883633150468</v>
      </c>
      <c r="V50">
        <v>-192.59003083762957</v>
      </c>
      <c r="W50">
        <v>-81.48021906950504</v>
      </c>
      <c r="X50">
        <v>202.77821289446013</v>
      </c>
      <c r="Y50">
        <v>-80.979331954067874</v>
      </c>
      <c r="Z50">
        <v>9.8222190969806888E-2</v>
      </c>
      <c r="AA50">
        <v>631.91302858083077</v>
      </c>
      <c r="AB50">
        <v>-1987.1775622593148</v>
      </c>
      <c r="AC50">
        <v>3103.8689766062516</v>
      </c>
      <c r="AD50">
        <v>-2345.0779781858778</v>
      </c>
      <c r="AE50">
        <v>680.07212866176928</v>
      </c>
      <c r="AF50">
        <v>4.5999999999999996</v>
      </c>
      <c r="AG50">
        <v>3600</v>
      </c>
    </row>
    <row r="51" spans="1:33" x14ac:dyDescent="0.3">
      <c r="A51" s="61" t="s">
        <v>59</v>
      </c>
      <c r="B51" s="111" t="s">
        <v>213</v>
      </c>
      <c r="C51" s="104" t="s">
        <v>296</v>
      </c>
      <c r="D51" s="63">
        <v>48.5</v>
      </c>
      <c r="E51" s="62">
        <v>289</v>
      </c>
      <c r="F51" s="62">
        <v>2760</v>
      </c>
      <c r="G51" s="62">
        <v>65.5</v>
      </c>
      <c r="H51">
        <v>3600.0308817406694</v>
      </c>
      <c r="I51">
        <v>-167.0476007169147</v>
      </c>
      <c r="J51">
        <v>-111.38787516437378</v>
      </c>
      <c r="K51">
        <v>307.68506972433596</v>
      </c>
      <c r="L51">
        <v>-317.31514751001708</v>
      </c>
      <c r="M51">
        <v>111.43265388386257</v>
      </c>
      <c r="N51">
        <v>39.661614910977363</v>
      </c>
      <c r="O51">
        <v>33.840828261629234</v>
      </c>
      <c r="P51">
        <v>-32.014870062242665</v>
      </c>
      <c r="Q51">
        <v>155.15993916701396</v>
      </c>
      <c r="R51">
        <v>-142.98786796859488</v>
      </c>
      <c r="S51">
        <v>46.16943286045472</v>
      </c>
      <c r="T51">
        <v>11.348913239892283</v>
      </c>
      <c r="U51">
        <v>395.45760112248325</v>
      </c>
      <c r="V51">
        <v>-1058.7843477412209</v>
      </c>
      <c r="W51">
        <v>1560.0079438332255</v>
      </c>
      <c r="X51">
        <v>-1151.3290392727963</v>
      </c>
      <c r="Y51">
        <v>330.17606977930728</v>
      </c>
      <c r="Z51">
        <v>6.2191993635224208E-2</v>
      </c>
      <c r="AA51">
        <v>641.91413472974932</v>
      </c>
      <c r="AB51">
        <v>-1981.1613105414756</v>
      </c>
      <c r="AC51">
        <v>3003.0244710535944</v>
      </c>
      <c r="AD51">
        <v>-2198.7023204655166</v>
      </c>
      <c r="AE51">
        <v>618.69502606018477</v>
      </c>
      <c r="AF51">
        <v>4.5999999999999996</v>
      </c>
      <c r="AG51">
        <v>3600</v>
      </c>
    </row>
    <row r="52" spans="1:33" x14ac:dyDescent="0.3">
      <c r="A52" s="61" t="s">
        <v>59</v>
      </c>
      <c r="B52" s="111" t="s">
        <v>213</v>
      </c>
      <c r="C52" s="104" t="s">
        <v>297</v>
      </c>
      <c r="D52" s="63">
        <v>52.1</v>
      </c>
      <c r="E52" s="62">
        <v>322</v>
      </c>
      <c r="F52" s="62">
        <v>3120</v>
      </c>
      <c r="G52" s="62">
        <v>64.5</v>
      </c>
      <c r="H52">
        <v>3599.934327362183</v>
      </c>
      <c r="I52">
        <v>-164.83328791833026</v>
      </c>
      <c r="J52">
        <v>186.73487254034811</v>
      </c>
      <c r="K52">
        <v>-531.62956730850237</v>
      </c>
      <c r="L52">
        <v>541.57608302276492</v>
      </c>
      <c r="M52">
        <v>-190.12527833018243</v>
      </c>
      <c r="N52">
        <v>47.53260642255259</v>
      </c>
      <c r="O52">
        <v>7.5732773591576219</v>
      </c>
      <c r="P52">
        <v>-0.70402260692936269</v>
      </c>
      <c r="Q52">
        <v>129.86631338025202</v>
      </c>
      <c r="R52">
        <v>-132.64644190697521</v>
      </c>
      <c r="S52">
        <v>48.47132191193414</v>
      </c>
      <c r="T52">
        <v>11.163514258976264</v>
      </c>
      <c r="U52">
        <v>352.34305309303744</v>
      </c>
      <c r="V52">
        <v>-845.28284014097369</v>
      </c>
      <c r="W52">
        <v>1141.3915162139369</v>
      </c>
      <c r="X52">
        <v>-795.62162311943257</v>
      </c>
      <c r="Y52">
        <v>220.36450236183373</v>
      </c>
      <c r="Z52">
        <v>0.11150711174931871</v>
      </c>
      <c r="AA52">
        <v>632.03090185382973</v>
      </c>
      <c r="AB52">
        <v>-1898.6096811457151</v>
      </c>
      <c r="AC52">
        <v>2813.6572097107551</v>
      </c>
      <c r="AD52">
        <v>-2024.4920563244939</v>
      </c>
      <c r="AE52">
        <v>561.34046105577102</v>
      </c>
      <c r="AF52">
        <v>4.5999999999999996</v>
      </c>
      <c r="AG52">
        <v>3600</v>
      </c>
    </row>
    <row r="53" spans="1:33" x14ac:dyDescent="0.3">
      <c r="A53" s="61" t="s">
        <v>59</v>
      </c>
      <c r="B53" s="111" t="s">
        <v>213</v>
      </c>
      <c r="C53" s="104" t="s">
        <v>298</v>
      </c>
      <c r="D53" s="63">
        <v>53.1</v>
      </c>
      <c r="E53" s="62">
        <v>354</v>
      </c>
      <c r="F53" s="62">
        <v>3240</v>
      </c>
      <c r="G53" s="62">
        <v>67.8</v>
      </c>
      <c r="H53">
        <v>3600.1980801733102</v>
      </c>
      <c r="I53">
        <v>-144.17966051356075</v>
      </c>
      <c r="J53">
        <v>-155.477622717202</v>
      </c>
      <c r="K53">
        <v>229.33959407547229</v>
      </c>
      <c r="L53">
        <v>-119.73349530700827</v>
      </c>
      <c r="M53">
        <v>12.722699550947842</v>
      </c>
      <c r="N53">
        <v>43.398141915392259</v>
      </c>
      <c r="O53">
        <v>12.395546954796313</v>
      </c>
      <c r="P53">
        <v>44.959001138846617</v>
      </c>
      <c r="Q53">
        <v>9.174433022334588</v>
      </c>
      <c r="R53">
        <v>-16.241014584110896</v>
      </c>
      <c r="S53">
        <v>6.2178200070027367</v>
      </c>
      <c r="T53">
        <v>10.264788752070217</v>
      </c>
      <c r="U53">
        <v>375.47152425006038</v>
      </c>
      <c r="V53">
        <v>-941.39065439880778</v>
      </c>
      <c r="W53">
        <v>1323.2436182139529</v>
      </c>
      <c r="X53">
        <v>-953.85486331898971</v>
      </c>
      <c r="Y53">
        <v>271.54322110301393</v>
      </c>
      <c r="Z53">
        <v>0.11388894506163183</v>
      </c>
      <c r="AA53">
        <v>628.88829390745821</v>
      </c>
      <c r="AB53">
        <v>-1901.8087324378646</v>
      </c>
      <c r="AC53">
        <v>2840.4941169264835</v>
      </c>
      <c r="AD53">
        <v>-2059.9795814425015</v>
      </c>
      <c r="AE53">
        <v>576.09588051671176</v>
      </c>
      <c r="AF53">
        <v>4.5999999999999996</v>
      </c>
      <c r="AG53">
        <v>3600</v>
      </c>
    </row>
    <row r="54" spans="1:33" x14ac:dyDescent="0.3">
      <c r="A54" s="61" t="s">
        <v>59</v>
      </c>
      <c r="B54" s="111" t="s">
        <v>213</v>
      </c>
      <c r="C54" s="104" t="s">
        <v>299</v>
      </c>
      <c r="D54" s="63">
        <v>55.2</v>
      </c>
      <c r="E54" s="62">
        <v>402</v>
      </c>
      <c r="F54" s="62">
        <v>3480</v>
      </c>
      <c r="G54" s="62">
        <v>72.7</v>
      </c>
      <c r="H54">
        <v>3599.8209670073111</v>
      </c>
      <c r="I54">
        <v>-173.85718911603021</v>
      </c>
      <c r="J54">
        <v>-250.10685336086996</v>
      </c>
      <c r="K54">
        <v>747.70004743060395</v>
      </c>
      <c r="L54">
        <v>-798.93557574800616</v>
      </c>
      <c r="M54">
        <v>285.55214412114697</v>
      </c>
      <c r="N54">
        <v>40.098709128975308</v>
      </c>
      <c r="O54">
        <v>45.314324299333194</v>
      </c>
      <c r="P54">
        <v>-107.12503640544327</v>
      </c>
      <c r="Q54">
        <v>334.36305492292973</v>
      </c>
      <c r="R54">
        <v>-326.76833693347282</v>
      </c>
      <c r="S54">
        <v>113.92232944912612</v>
      </c>
      <c r="T54">
        <v>10.77156702346079</v>
      </c>
      <c r="U54">
        <v>413.85500805182437</v>
      </c>
      <c r="V54">
        <v>-1172.2448980367294</v>
      </c>
      <c r="W54">
        <v>1782.4653433040949</v>
      </c>
      <c r="X54">
        <v>-1347.7026824635725</v>
      </c>
      <c r="Y54">
        <v>395.51393500769626</v>
      </c>
      <c r="Z54">
        <v>0.42792819776053648</v>
      </c>
      <c r="AA54">
        <v>726.52057054560203</v>
      </c>
      <c r="AB54">
        <v>-2455.5368184554659</v>
      </c>
      <c r="AC54">
        <v>3966.2482010963568</v>
      </c>
      <c r="AD54">
        <v>-3049.9587535715141</v>
      </c>
      <c r="AE54">
        <v>894.14666882147367</v>
      </c>
      <c r="AF54">
        <v>4.5999999999999996</v>
      </c>
      <c r="AG54">
        <v>3600</v>
      </c>
    </row>
    <row r="55" spans="1:33" x14ac:dyDescent="0.3">
      <c r="A55" s="61" t="s">
        <v>59</v>
      </c>
      <c r="B55" s="111" t="s">
        <v>213</v>
      </c>
      <c r="C55" s="104" t="s">
        <v>300</v>
      </c>
      <c r="D55" s="63">
        <v>61.7</v>
      </c>
      <c r="E55" s="62">
        <v>402</v>
      </c>
      <c r="F55" s="62">
        <v>3600</v>
      </c>
      <c r="G55" s="62">
        <v>70.5</v>
      </c>
      <c r="H55">
        <v>3599.9229532130835</v>
      </c>
      <c r="I55">
        <v>-203.29475546828786</v>
      </c>
      <c r="J55">
        <v>-9.0843735847690485</v>
      </c>
      <c r="K55">
        <v>78.85624086762445</v>
      </c>
      <c r="L55">
        <v>-72.065121642550622</v>
      </c>
      <c r="M55">
        <v>22.190400713605623</v>
      </c>
      <c r="N55">
        <v>39.68925223670594</v>
      </c>
      <c r="O55">
        <v>15.286878988901911</v>
      </c>
      <c r="P55">
        <v>-6.6557275475612947</v>
      </c>
      <c r="Q55">
        <v>163.56856420237111</v>
      </c>
      <c r="R55">
        <v>-167.96087726781349</v>
      </c>
      <c r="S55">
        <v>56.091017851774623</v>
      </c>
      <c r="T55">
        <v>9.385050049920677</v>
      </c>
      <c r="U55">
        <v>186.55994787924124</v>
      </c>
      <c r="V55">
        <v>-176.52903682015423</v>
      </c>
      <c r="W55">
        <v>85.351250469949051</v>
      </c>
      <c r="X55">
        <v>-22.824141434757987</v>
      </c>
      <c r="Y55">
        <v>2.8741195269605506</v>
      </c>
      <c r="Z55">
        <v>2.0706129334172374E-2</v>
      </c>
      <c r="AA55">
        <v>471.78852863295856</v>
      </c>
      <c r="AB55">
        <v>-1127.3834716041772</v>
      </c>
      <c r="AC55">
        <v>1385.2122263591607</v>
      </c>
      <c r="AD55">
        <v>-854.47632341963686</v>
      </c>
      <c r="AE55">
        <v>207.83097037651709</v>
      </c>
      <c r="AF55">
        <v>4.5999999999999996</v>
      </c>
      <c r="AG55">
        <v>3600</v>
      </c>
    </row>
    <row r="56" spans="1:33" x14ac:dyDescent="0.3">
      <c r="A56" s="61" t="s">
        <v>59</v>
      </c>
      <c r="B56" s="111" t="s">
        <v>213</v>
      </c>
      <c r="C56" s="104" t="s">
        <v>301</v>
      </c>
      <c r="D56" s="63">
        <v>66.900000000000006</v>
      </c>
      <c r="E56" s="62">
        <v>434</v>
      </c>
      <c r="F56" s="62">
        <v>3960</v>
      </c>
      <c r="G56" s="62">
        <v>69.5</v>
      </c>
      <c r="H56">
        <v>3599.9688670056144</v>
      </c>
      <c r="I56">
        <v>-200.91976417020282</v>
      </c>
      <c r="J56">
        <v>-7.2098731786187944</v>
      </c>
      <c r="K56">
        <v>82.555039212238896</v>
      </c>
      <c r="L56">
        <v>-74.457634638031749</v>
      </c>
      <c r="M56">
        <v>20.061662404617511</v>
      </c>
      <c r="N56">
        <v>52.314578334467036</v>
      </c>
      <c r="O56">
        <v>7.0745176970044703</v>
      </c>
      <c r="P56">
        <v>55.411651319718338</v>
      </c>
      <c r="Q56">
        <v>-59.448619990580106</v>
      </c>
      <c r="R56">
        <v>67.508819141764391</v>
      </c>
      <c r="S56">
        <v>-22.878482139185</v>
      </c>
      <c r="T56">
        <v>11.019719373167797</v>
      </c>
      <c r="U56">
        <v>154.71818842860878</v>
      </c>
      <c r="V56">
        <v>-134.83180945410996</v>
      </c>
      <c r="W56">
        <v>74.542245900369707</v>
      </c>
      <c r="X56">
        <v>-27.764577888297115</v>
      </c>
      <c r="Y56">
        <v>4.3136454824568267</v>
      </c>
      <c r="Z56">
        <v>1.8393863930981524E-2</v>
      </c>
      <c r="AA56">
        <v>499.18517840964427</v>
      </c>
      <c r="AB56">
        <v>-1253.5467576519077</v>
      </c>
      <c r="AC56">
        <v>1586.9707703953425</v>
      </c>
      <c r="AD56">
        <v>-989.71026532048324</v>
      </c>
      <c r="AE56">
        <v>239.96211706869317</v>
      </c>
      <c r="AF56">
        <v>4.5999999999999996</v>
      </c>
      <c r="AG56">
        <v>3600</v>
      </c>
    </row>
    <row r="57" spans="1:33" x14ac:dyDescent="0.3">
      <c r="A57" s="61" t="s">
        <v>59</v>
      </c>
      <c r="B57" s="111" t="s">
        <v>213</v>
      </c>
      <c r="C57" s="104" t="s">
        <v>302</v>
      </c>
      <c r="D57" s="63">
        <v>73.099999999999994</v>
      </c>
      <c r="E57" s="62">
        <v>482</v>
      </c>
      <c r="F57" s="62">
        <v>4440</v>
      </c>
      <c r="G57" s="62">
        <v>69</v>
      </c>
      <c r="H57">
        <v>3599.9811097440402</v>
      </c>
      <c r="I57">
        <v>-168.53725199242331</v>
      </c>
      <c r="J57">
        <v>-38.181625618107326</v>
      </c>
      <c r="K57">
        <v>126.26959108593688</v>
      </c>
      <c r="L57">
        <v>-145.42845513237455</v>
      </c>
      <c r="M57">
        <v>53.15738654503312</v>
      </c>
      <c r="N57">
        <v>44.60401843502941</v>
      </c>
      <c r="O57">
        <v>13.346765717103638</v>
      </c>
      <c r="P57">
        <v>46.009327276968904</v>
      </c>
      <c r="Q57">
        <v>-56.031613429380563</v>
      </c>
      <c r="R57">
        <v>87.153950708267487</v>
      </c>
      <c r="S57">
        <v>-35.036633219990073</v>
      </c>
      <c r="T57">
        <v>10.705488716720293</v>
      </c>
      <c r="U57">
        <v>155.44902887293924</v>
      </c>
      <c r="V57">
        <v>-128.73001230219234</v>
      </c>
      <c r="W57">
        <v>51.910889780275348</v>
      </c>
      <c r="X57">
        <v>-3.8515454590014482</v>
      </c>
      <c r="Y57">
        <v>-3.52560060448406</v>
      </c>
      <c r="Z57">
        <v>-9.7896067365226269E-3</v>
      </c>
      <c r="AA57">
        <v>368.2772840739575</v>
      </c>
      <c r="AB57">
        <v>-613.11213141302107</v>
      </c>
      <c r="AC57">
        <v>452.58209747528429</v>
      </c>
      <c r="AD57">
        <v>-122.07421939733318</v>
      </c>
      <c r="AE57">
        <v>-2.5693151992968581</v>
      </c>
      <c r="AF57">
        <v>4.5999999999999996</v>
      </c>
      <c r="AG57">
        <v>3600</v>
      </c>
    </row>
    <row r="58" spans="1:33" x14ac:dyDescent="0.3">
      <c r="A58" s="61" t="s">
        <v>59</v>
      </c>
      <c r="B58" s="111" t="s">
        <v>213</v>
      </c>
      <c r="C58" s="104" t="s">
        <v>303</v>
      </c>
      <c r="D58" s="63">
        <v>56.7</v>
      </c>
      <c r="E58" s="62">
        <v>515</v>
      </c>
      <c r="F58" s="62">
        <v>4740</v>
      </c>
      <c r="G58" s="62">
        <v>68.3</v>
      </c>
      <c r="H58">
        <v>3599.9798153527422</v>
      </c>
      <c r="I58">
        <v>-223.65572064896759</v>
      </c>
      <c r="J58">
        <v>21.140158676746779</v>
      </c>
      <c r="K58">
        <v>-3.0503901197995598</v>
      </c>
      <c r="L58">
        <v>-5.3829437115678216</v>
      </c>
      <c r="M58">
        <v>2.115120295238381</v>
      </c>
      <c r="N58">
        <v>42.03681552057904</v>
      </c>
      <c r="O58">
        <v>26.966568832622887</v>
      </c>
      <c r="P58">
        <v>15.712413426156564</v>
      </c>
      <c r="Q58">
        <v>18.883980974058456</v>
      </c>
      <c r="R58">
        <v>-3.5820425348945926</v>
      </c>
      <c r="S58">
        <v>-4.5819130174621824E-2</v>
      </c>
      <c r="T58">
        <v>10.507902288587896</v>
      </c>
      <c r="U58">
        <v>203.33123426817212</v>
      </c>
      <c r="V58">
        <v>-292.39274945281295</v>
      </c>
      <c r="W58">
        <v>300.10602743302474</v>
      </c>
      <c r="X58">
        <v>-188.99705016794513</v>
      </c>
      <c r="Y58">
        <v>50.055668682161361</v>
      </c>
      <c r="Z58">
        <v>8.0888244081506855E-2</v>
      </c>
      <c r="AA58">
        <v>500.94715588593789</v>
      </c>
      <c r="AB58">
        <v>-1273.2862457968467</v>
      </c>
      <c r="AC58">
        <v>1658.4396264905392</v>
      </c>
      <c r="AD58">
        <v>-1081.8954355882413</v>
      </c>
      <c r="AE58">
        <v>277.63483224407497</v>
      </c>
      <c r="AF58">
        <v>4.5999999999999996</v>
      </c>
      <c r="AG58">
        <v>3600</v>
      </c>
    </row>
    <row r="59" spans="1:33" x14ac:dyDescent="0.3">
      <c r="A59" s="61" t="s">
        <v>59</v>
      </c>
      <c r="B59" s="111" t="s">
        <v>214</v>
      </c>
      <c r="C59" s="104" t="s">
        <v>304</v>
      </c>
      <c r="D59" s="63">
        <v>9.3000000000000007</v>
      </c>
      <c r="E59" s="62">
        <v>51</v>
      </c>
      <c r="F59" s="62">
        <v>1140</v>
      </c>
      <c r="G59" s="62">
        <v>26.5</v>
      </c>
      <c r="H59">
        <v>3600.1364881699069</v>
      </c>
      <c r="I59">
        <v>-183.46289363411367</v>
      </c>
      <c r="J59">
        <v>-19.2221098832193</v>
      </c>
      <c r="K59">
        <v>49.171313204720967</v>
      </c>
      <c r="L59">
        <v>-59.411406002440941</v>
      </c>
      <c r="M59">
        <v>22.351907099626146</v>
      </c>
      <c r="N59">
        <v>36.334350469353133</v>
      </c>
      <c r="O59">
        <v>38.584198585238646</v>
      </c>
      <c r="P59">
        <v>21.30901461909118</v>
      </c>
      <c r="Q59">
        <v>28.316287056343224</v>
      </c>
      <c r="R59">
        <v>-43.168835848505552</v>
      </c>
      <c r="S59">
        <v>18.70050641984993</v>
      </c>
      <c r="T59">
        <v>12.186803211203429</v>
      </c>
      <c r="U59">
        <v>219.51341540826223</v>
      </c>
      <c r="V59">
        <v>-338.56136805046458</v>
      </c>
      <c r="W59">
        <v>344.87112039850791</v>
      </c>
      <c r="X59">
        <v>-202.71291217930292</v>
      </c>
      <c r="Y59">
        <v>49.676413871144085</v>
      </c>
      <c r="Z59">
        <v>7.0995825948017455E-2</v>
      </c>
      <c r="AA59">
        <v>452.48960618812583</v>
      </c>
      <c r="AB59">
        <v>-984.67798915638434</v>
      </c>
      <c r="AC59">
        <v>1078.987455992351</v>
      </c>
      <c r="AD59">
        <v>-589.85390162952217</v>
      </c>
      <c r="AE59">
        <v>127.08650076249236</v>
      </c>
      <c r="AF59">
        <v>5.12</v>
      </c>
      <c r="AG59">
        <v>3600</v>
      </c>
    </row>
    <row r="60" spans="1:33" x14ac:dyDescent="0.3">
      <c r="A60" s="61" t="s">
        <v>59</v>
      </c>
      <c r="B60" s="111" t="s">
        <v>214</v>
      </c>
      <c r="C60" s="104" t="s">
        <v>305</v>
      </c>
      <c r="D60" s="63">
        <v>10.9</v>
      </c>
      <c r="E60" s="62">
        <v>72</v>
      </c>
      <c r="F60" s="62">
        <v>1500</v>
      </c>
      <c r="G60" s="62">
        <v>29</v>
      </c>
      <c r="H60">
        <v>3599.9982244934358</v>
      </c>
      <c r="I60">
        <v>-185.2261335086902</v>
      </c>
      <c r="J60">
        <v>254.64134818378741</v>
      </c>
      <c r="K60">
        <v>-689.11355613165767</v>
      </c>
      <c r="L60">
        <v>720.30165803644934</v>
      </c>
      <c r="M60">
        <v>-259.25411994782979</v>
      </c>
      <c r="N60">
        <v>40.683629550635153</v>
      </c>
      <c r="O60">
        <v>25.460139651655314</v>
      </c>
      <c r="P60">
        <v>-9.387161955368807</v>
      </c>
      <c r="Q60">
        <v>112.51186152854615</v>
      </c>
      <c r="R60">
        <v>-102.71429691147452</v>
      </c>
      <c r="S60">
        <v>33.232583165419776</v>
      </c>
      <c r="T60">
        <v>12.697647131823382</v>
      </c>
      <c r="U60">
        <v>216.02223225828467</v>
      </c>
      <c r="V60">
        <v>-284.59791816393226</v>
      </c>
      <c r="W60">
        <v>203.02459893574306</v>
      </c>
      <c r="X60">
        <v>-65.078366939838958</v>
      </c>
      <c r="Y60">
        <v>4.0593829354469264</v>
      </c>
      <c r="Z60">
        <v>2.8011263327869074E-2</v>
      </c>
      <c r="AA60">
        <v>634.4093733202169</v>
      </c>
      <c r="AB60">
        <v>-1928.5356639055858</v>
      </c>
      <c r="AC60">
        <v>2872.1683841840145</v>
      </c>
      <c r="AD60">
        <v>-2062.9305592683345</v>
      </c>
      <c r="AE60">
        <v>568.62474910888227</v>
      </c>
      <c r="AF60">
        <v>5.12</v>
      </c>
      <c r="AG60">
        <v>3600</v>
      </c>
    </row>
    <row r="61" spans="1:33" x14ac:dyDescent="0.3">
      <c r="A61" s="61" t="s">
        <v>59</v>
      </c>
      <c r="B61" s="111" t="s">
        <v>214</v>
      </c>
      <c r="C61" s="104" t="s">
        <v>306</v>
      </c>
      <c r="D61" s="63">
        <v>14.1</v>
      </c>
      <c r="E61" s="62">
        <v>101</v>
      </c>
      <c r="F61" s="62">
        <v>1620</v>
      </c>
      <c r="G61" s="62">
        <v>35.5</v>
      </c>
      <c r="H61">
        <v>3599.6523150413927</v>
      </c>
      <c r="I61">
        <v>-156.70363318678642</v>
      </c>
      <c r="J61">
        <v>-3.2513705360382255</v>
      </c>
      <c r="K61">
        <v>-1.0446314196576583</v>
      </c>
      <c r="L61">
        <v>0.52628871220244455</v>
      </c>
      <c r="M61">
        <v>-0.55041560395661004</v>
      </c>
      <c r="N61">
        <v>36.847966789005142</v>
      </c>
      <c r="O61">
        <v>50.722009706488222</v>
      </c>
      <c r="P61">
        <v>-37.330066251415033</v>
      </c>
      <c r="Q61">
        <v>115.92300942351521</v>
      </c>
      <c r="R61">
        <v>-95.308819328694497</v>
      </c>
      <c r="S61">
        <v>29.166325628892107</v>
      </c>
      <c r="T61">
        <v>13.041581313341972</v>
      </c>
      <c r="U61">
        <v>240.98955611987532</v>
      </c>
      <c r="V61">
        <v>-393.45693078210871</v>
      </c>
      <c r="W61">
        <v>397.65229548811857</v>
      </c>
      <c r="X61">
        <v>-223.15324116846702</v>
      </c>
      <c r="Y61">
        <v>51.948952691182882</v>
      </c>
      <c r="Z61">
        <v>0.12674240635323031</v>
      </c>
      <c r="AA61">
        <v>587.95930372179805</v>
      </c>
      <c r="AB61">
        <v>-1669.5317275214045</v>
      </c>
      <c r="AC61">
        <v>2353.0197279074528</v>
      </c>
      <c r="AD61">
        <v>-1615.9885829052428</v>
      </c>
      <c r="AE61">
        <v>428.49466332415079</v>
      </c>
      <c r="AF61">
        <v>5.12</v>
      </c>
      <c r="AG61">
        <v>3600</v>
      </c>
    </row>
    <row r="62" spans="1:33" x14ac:dyDescent="0.3">
      <c r="A62" s="61" t="s">
        <v>59</v>
      </c>
      <c r="B62" s="111" t="s">
        <v>214</v>
      </c>
      <c r="C62" s="104" t="s">
        <v>307</v>
      </c>
      <c r="D62" s="63">
        <v>15.7</v>
      </c>
      <c r="E62" s="62">
        <v>113</v>
      </c>
      <c r="F62" s="62">
        <v>2340</v>
      </c>
      <c r="G62" s="62">
        <v>27.5</v>
      </c>
      <c r="H62">
        <v>3599.9651142186949</v>
      </c>
      <c r="I62">
        <v>-202.80850594365381</v>
      </c>
      <c r="J62">
        <v>-112.8066924938866</v>
      </c>
      <c r="K62">
        <v>646.61099923580139</v>
      </c>
      <c r="L62">
        <v>-790.58116663222086</v>
      </c>
      <c r="M62">
        <v>293.49486497210484</v>
      </c>
      <c r="N62">
        <v>38.89721539578769</v>
      </c>
      <c r="O62">
        <v>41.934069620479889</v>
      </c>
      <c r="P62">
        <v>25.057862969269841</v>
      </c>
      <c r="Q62">
        <v>6.2850065139130198</v>
      </c>
      <c r="R62">
        <v>-40.737380066519322</v>
      </c>
      <c r="S62">
        <v>28.886617345640619</v>
      </c>
      <c r="T62">
        <v>1.5410451352742456</v>
      </c>
      <c r="U62">
        <v>290.0002235853392</v>
      </c>
      <c r="V62">
        <v>-514.00446524529559</v>
      </c>
      <c r="W62">
        <v>569.14097745752986</v>
      </c>
      <c r="X62">
        <v>-349.61551297206012</v>
      </c>
      <c r="Y62">
        <v>89.105677934715331</v>
      </c>
      <c r="Z62">
        <v>0.13335140082125463</v>
      </c>
      <c r="AA62">
        <v>672.162668470727</v>
      </c>
      <c r="AB62">
        <v>-2149.5536141511698</v>
      </c>
      <c r="AC62">
        <v>3340.3206133222452</v>
      </c>
      <c r="AD62">
        <v>-2486.5025294826469</v>
      </c>
      <c r="AE62">
        <v>707.40968823053402</v>
      </c>
      <c r="AF62">
        <v>5.12</v>
      </c>
      <c r="AG62">
        <v>3600</v>
      </c>
    </row>
    <row r="63" spans="1:33" x14ac:dyDescent="0.3">
      <c r="A63" s="61" t="s">
        <v>59</v>
      </c>
      <c r="B63" s="111" t="s">
        <v>214</v>
      </c>
      <c r="C63" s="104" t="s">
        <v>308</v>
      </c>
      <c r="D63" s="63">
        <v>17.399999999999999</v>
      </c>
      <c r="E63" s="62">
        <v>129</v>
      </c>
      <c r="F63" s="62">
        <v>2340</v>
      </c>
      <c r="G63" s="62">
        <v>31</v>
      </c>
      <c r="H63">
        <v>3600.0073453745995</v>
      </c>
      <c r="I63">
        <v>-154.42494276595275</v>
      </c>
      <c r="J63">
        <v>-29.082255610464252</v>
      </c>
      <c r="K63">
        <v>70.227615495365441</v>
      </c>
      <c r="L63">
        <v>-110.29231927822555</v>
      </c>
      <c r="M63">
        <v>50.698027564713186</v>
      </c>
      <c r="N63">
        <v>38.711043003480547</v>
      </c>
      <c r="O63">
        <v>26.689477367266978</v>
      </c>
      <c r="P63">
        <v>23.392310248243533</v>
      </c>
      <c r="Q63">
        <v>18.801236014108294</v>
      </c>
      <c r="R63">
        <v>-11.222661114879308</v>
      </c>
      <c r="S63">
        <v>3.5635937417063568</v>
      </c>
      <c r="T63">
        <v>11.303109613942173</v>
      </c>
      <c r="U63">
        <v>249.99130573321028</v>
      </c>
      <c r="V63">
        <v>-341.22118910900645</v>
      </c>
      <c r="W63">
        <v>232.10734631438191</v>
      </c>
      <c r="X63">
        <v>-59.825591527742667</v>
      </c>
      <c r="Y63">
        <v>-1.8606544046851712</v>
      </c>
      <c r="Z63">
        <v>4.9640871174005952E-4</v>
      </c>
      <c r="AA63">
        <v>558.17540938738887</v>
      </c>
      <c r="AB63">
        <v>-1462.4477078107798</v>
      </c>
      <c r="AC63">
        <v>1902.8057373490599</v>
      </c>
      <c r="AD63">
        <v>-1219.134971270061</v>
      </c>
      <c r="AE63">
        <v>304.89767563136195</v>
      </c>
      <c r="AF63">
        <v>5.12</v>
      </c>
      <c r="AG63">
        <v>3600</v>
      </c>
    </row>
    <row r="64" spans="1:33" x14ac:dyDescent="0.3">
      <c r="A64" s="61" t="s">
        <v>59</v>
      </c>
      <c r="B64" s="111" t="s">
        <v>214</v>
      </c>
      <c r="C64" s="104" t="s">
        <v>309</v>
      </c>
      <c r="D64" s="63">
        <v>19</v>
      </c>
      <c r="E64" s="62">
        <v>145</v>
      </c>
      <c r="F64" s="62">
        <v>2340</v>
      </c>
      <c r="G64" s="62">
        <v>35</v>
      </c>
      <c r="H64">
        <v>3600.0401692074847</v>
      </c>
      <c r="I64">
        <v>-200.96912523992813</v>
      </c>
      <c r="J64">
        <v>82.191308980191678</v>
      </c>
      <c r="K64">
        <v>-186.81934549767271</v>
      </c>
      <c r="L64">
        <v>228.10452321726601</v>
      </c>
      <c r="M64">
        <v>-121.69093705838921</v>
      </c>
      <c r="N64">
        <v>35.820489695823014</v>
      </c>
      <c r="O64">
        <v>8.7271123109253192</v>
      </c>
      <c r="P64">
        <v>86.08029359423729</v>
      </c>
      <c r="Q64">
        <v>11.165512182824918</v>
      </c>
      <c r="R64">
        <v>-95.744161482252252</v>
      </c>
      <c r="S64">
        <v>53.908003610344743</v>
      </c>
      <c r="T64">
        <v>11.839460327286353</v>
      </c>
      <c r="U64">
        <v>193.2473144530102</v>
      </c>
      <c r="V64">
        <v>-101.06724670035685</v>
      </c>
      <c r="W64">
        <v>-182.48400335255323</v>
      </c>
      <c r="X64">
        <v>256.6899834814206</v>
      </c>
      <c r="Y64">
        <v>-91.806771669470734</v>
      </c>
      <c r="Z64">
        <v>0.17743279801305789</v>
      </c>
      <c r="AA64">
        <v>747.20080797330024</v>
      </c>
      <c r="AB64">
        <v>-2592.0587010219997</v>
      </c>
      <c r="AC64">
        <v>4334.2972387009695</v>
      </c>
      <c r="AD64">
        <v>-3462.8087608480168</v>
      </c>
      <c r="AE64">
        <v>1056.4412619832349</v>
      </c>
      <c r="AF64">
        <v>5.12</v>
      </c>
      <c r="AG64">
        <v>3600</v>
      </c>
    </row>
    <row r="65" spans="1:33" x14ac:dyDescent="0.3">
      <c r="A65" s="61" t="s">
        <v>59</v>
      </c>
      <c r="B65" s="111" t="s">
        <v>214</v>
      </c>
      <c r="C65" s="104" t="s">
        <v>291</v>
      </c>
      <c r="D65" s="63">
        <v>22.2</v>
      </c>
      <c r="E65" s="62">
        <v>200</v>
      </c>
      <c r="F65" s="62">
        <v>2520</v>
      </c>
      <c r="G65" s="62">
        <v>48</v>
      </c>
      <c r="H65">
        <v>3600.0056233831538</v>
      </c>
      <c r="I65">
        <v>-211.13030527939605</v>
      </c>
      <c r="J65">
        <v>234.30423684342733</v>
      </c>
      <c r="K65">
        <v>-610.96315507671591</v>
      </c>
      <c r="L65">
        <v>587.48189821090125</v>
      </c>
      <c r="M65">
        <v>-197.74490854563891</v>
      </c>
      <c r="N65">
        <v>36.446063760837816</v>
      </c>
      <c r="O65">
        <v>33.24712586963777</v>
      </c>
      <c r="P65">
        <v>-23.373044298253362</v>
      </c>
      <c r="Q65">
        <v>151.97764031300613</v>
      </c>
      <c r="R65">
        <v>-147.06297309592119</v>
      </c>
      <c r="S65">
        <v>48.805475577171251</v>
      </c>
      <c r="T65">
        <v>10.321857367795715</v>
      </c>
      <c r="U65">
        <v>298.61209226454565</v>
      </c>
      <c r="V65">
        <v>-693.81752018031341</v>
      </c>
      <c r="W65">
        <v>1043.2040216944558</v>
      </c>
      <c r="X65">
        <v>-828.01516820414031</v>
      </c>
      <c r="Y65">
        <v>255.83560402455464</v>
      </c>
      <c r="Z65">
        <v>6.5130855615223027E-2</v>
      </c>
      <c r="AA65">
        <v>708.80333061344618</v>
      </c>
      <c r="AB65">
        <v>-2292.6016268242943</v>
      </c>
      <c r="AC65">
        <v>3553.5268590548212</v>
      </c>
      <c r="AD65">
        <v>-2631.6596537061228</v>
      </c>
      <c r="AE65">
        <v>744.77005624481592</v>
      </c>
      <c r="AF65">
        <v>5.12</v>
      </c>
      <c r="AG65">
        <v>3600</v>
      </c>
    </row>
    <row r="66" spans="1:33" x14ac:dyDescent="0.3">
      <c r="A66" s="61" t="s">
        <v>59</v>
      </c>
      <c r="B66" s="111" t="s">
        <v>214</v>
      </c>
      <c r="C66" s="104" t="s">
        <v>310</v>
      </c>
      <c r="D66" s="63">
        <v>25.5</v>
      </c>
      <c r="E66" s="62">
        <v>233</v>
      </c>
      <c r="F66" s="62">
        <v>3000</v>
      </c>
      <c r="G66" s="62">
        <v>46</v>
      </c>
      <c r="H66">
        <v>3599.9999847269746</v>
      </c>
      <c r="I66">
        <v>-146.49821672798663</v>
      </c>
      <c r="J66">
        <v>-50.458871107159595</v>
      </c>
      <c r="K66">
        <v>111.10438026776716</v>
      </c>
      <c r="L66">
        <v>-104.84307961701759</v>
      </c>
      <c r="M66">
        <v>32.274303596328615</v>
      </c>
      <c r="N66">
        <v>32.17295950563237</v>
      </c>
      <c r="O66">
        <v>42.083586029948741</v>
      </c>
      <c r="P66">
        <v>29.085888115127347</v>
      </c>
      <c r="Q66">
        <v>0.42259269051021781</v>
      </c>
      <c r="R66">
        <v>-11.525103462787035</v>
      </c>
      <c r="S66">
        <v>7.8032111576057739</v>
      </c>
      <c r="T66">
        <v>11.999365512719994</v>
      </c>
      <c r="U66">
        <v>253.30940816517358</v>
      </c>
      <c r="V66">
        <v>-403.74761778924346</v>
      </c>
      <c r="W66">
        <v>380.22087297827176</v>
      </c>
      <c r="X66">
        <v>-203.02613376690897</v>
      </c>
      <c r="Y66">
        <v>47.791769337299677</v>
      </c>
      <c r="Z66">
        <v>3.0605925007876067E-4</v>
      </c>
      <c r="AA66">
        <v>541.33808975291993</v>
      </c>
      <c r="AB66">
        <v>-1388.8539386598404</v>
      </c>
      <c r="AC66">
        <v>1782.642731570455</v>
      </c>
      <c r="AD66">
        <v>-1133.219495244683</v>
      </c>
      <c r="AE66">
        <v>282.27341960435257</v>
      </c>
      <c r="AF66">
        <v>5.12</v>
      </c>
      <c r="AG66">
        <v>3600</v>
      </c>
    </row>
    <row r="67" spans="1:33" x14ac:dyDescent="0.3">
      <c r="A67" s="61" t="s">
        <v>59</v>
      </c>
      <c r="B67" s="111" t="s">
        <v>214</v>
      </c>
      <c r="C67" s="104" t="s">
        <v>311</v>
      </c>
      <c r="D67" s="63">
        <v>37.799999999999997</v>
      </c>
      <c r="E67" s="62">
        <v>290</v>
      </c>
      <c r="F67" s="62">
        <v>2880</v>
      </c>
      <c r="G67" s="62">
        <v>58</v>
      </c>
      <c r="H67">
        <v>3600.0285536121546</v>
      </c>
      <c r="I67">
        <v>-137.87108923196541</v>
      </c>
      <c r="J67">
        <v>-61.649368304489947</v>
      </c>
      <c r="K67">
        <v>43.311328620348242</v>
      </c>
      <c r="L67">
        <v>11.844711864149099</v>
      </c>
      <c r="M67">
        <v>-21.17386649854927</v>
      </c>
      <c r="N67">
        <v>38.771112139018889</v>
      </c>
      <c r="O67">
        <v>42.624424842860115</v>
      </c>
      <c r="P67">
        <v>-50.87513684595217</v>
      </c>
      <c r="Q67">
        <v>182.37164980526947</v>
      </c>
      <c r="R67">
        <v>-180.90805246484712</v>
      </c>
      <c r="S67">
        <v>68.133803048382561</v>
      </c>
      <c r="T67">
        <v>10.536150324092219</v>
      </c>
      <c r="U67">
        <v>344.09494728248563</v>
      </c>
      <c r="V67">
        <v>-702.72133896074195</v>
      </c>
      <c r="W67">
        <v>763.69988730415184</v>
      </c>
      <c r="X67">
        <v>-418.09702799641349</v>
      </c>
      <c r="Y67">
        <v>90.582925039318468</v>
      </c>
      <c r="Z67">
        <v>0.19495836516426834</v>
      </c>
      <c r="AA67">
        <v>641.70005829077729</v>
      </c>
      <c r="AB67">
        <v>-1934.1598769254101</v>
      </c>
      <c r="AC67">
        <v>2858.9709351344745</v>
      </c>
      <c r="AD67">
        <v>-2044.2731304512192</v>
      </c>
      <c r="AE67">
        <v>562.07050912021191</v>
      </c>
      <c r="AF67">
        <v>5.12</v>
      </c>
      <c r="AG67">
        <v>3600</v>
      </c>
    </row>
    <row r="68" spans="1:33" x14ac:dyDescent="0.3">
      <c r="A68" s="61" t="s">
        <v>59</v>
      </c>
      <c r="B68" s="111" t="s">
        <v>214</v>
      </c>
      <c r="C68" s="104" t="s">
        <v>312</v>
      </c>
      <c r="D68" s="63">
        <v>41</v>
      </c>
      <c r="E68" s="62">
        <v>322</v>
      </c>
      <c r="F68" s="62">
        <v>3180</v>
      </c>
      <c r="G68" s="62">
        <v>57</v>
      </c>
      <c r="H68">
        <v>3600.0020963101506</v>
      </c>
      <c r="I68">
        <v>-148.98450653738325</v>
      </c>
      <c r="J68">
        <v>11.873923428170086</v>
      </c>
      <c r="K68">
        <v>-59.415818147763481</v>
      </c>
      <c r="L68">
        <v>57.501098254497187</v>
      </c>
      <c r="M68">
        <v>-30.231759408522965</v>
      </c>
      <c r="N68">
        <v>39.297107374390066</v>
      </c>
      <c r="O68">
        <v>32.668974647338608</v>
      </c>
      <c r="P68">
        <v>-90.126199786814468</v>
      </c>
      <c r="Q68">
        <v>333.7063015566045</v>
      </c>
      <c r="R68">
        <v>-333.21525029445678</v>
      </c>
      <c r="S68">
        <v>117.90950848066637</v>
      </c>
      <c r="T68">
        <v>10.00181034543288</v>
      </c>
      <c r="U68">
        <v>234.5114610883731</v>
      </c>
      <c r="V68">
        <v>-302.18898903356967</v>
      </c>
      <c r="W68">
        <v>208.37330692958881</v>
      </c>
      <c r="X68">
        <v>-70.391446376120598</v>
      </c>
      <c r="Y68">
        <v>8.5320993007194357</v>
      </c>
      <c r="Z68">
        <v>9.9464313822750228E-4</v>
      </c>
      <c r="AA68">
        <v>594.15581714424263</v>
      </c>
      <c r="AB68">
        <v>-1630.7842904175161</v>
      </c>
      <c r="AC68">
        <v>2200.2371819517716</v>
      </c>
      <c r="AD68">
        <v>-1450.3584393054782</v>
      </c>
      <c r="AE68">
        <v>371.70697744268682</v>
      </c>
      <c r="AF68">
        <v>5.12</v>
      </c>
      <c r="AG68">
        <v>3600</v>
      </c>
    </row>
    <row r="69" spans="1:33" x14ac:dyDescent="0.3">
      <c r="A69" s="61" t="s">
        <v>59</v>
      </c>
      <c r="B69" s="111" t="s">
        <v>214</v>
      </c>
      <c r="C69" s="104" t="s">
        <v>313</v>
      </c>
      <c r="D69" s="63">
        <v>44.2</v>
      </c>
      <c r="E69" s="62">
        <v>402</v>
      </c>
      <c r="F69" s="62">
        <v>2880</v>
      </c>
      <c r="G69" s="62">
        <v>80</v>
      </c>
      <c r="H69">
        <v>3600.0001013342421</v>
      </c>
      <c r="I69">
        <v>-243.83328072674013</v>
      </c>
      <c r="J69">
        <v>409.14396345058231</v>
      </c>
      <c r="K69">
        <v>-866.83205107610956</v>
      </c>
      <c r="L69">
        <v>758.14251908641847</v>
      </c>
      <c r="M69">
        <v>-236.65270073140914</v>
      </c>
      <c r="N69">
        <v>38.750055130406793</v>
      </c>
      <c r="O69">
        <v>64.620779788217931</v>
      </c>
      <c r="P69">
        <v>-164.5492766260098</v>
      </c>
      <c r="Q69">
        <v>430.43061554436872</v>
      </c>
      <c r="R69">
        <v>-402.79803292686518</v>
      </c>
      <c r="S69">
        <v>133.5287495961895</v>
      </c>
      <c r="T69">
        <v>10.499838770159656</v>
      </c>
      <c r="U69">
        <v>152.86848258886081</v>
      </c>
      <c r="V69">
        <v>43.709620047202925</v>
      </c>
      <c r="W69">
        <v>-371.18958882724115</v>
      </c>
      <c r="X69">
        <v>372.89554938531279</v>
      </c>
      <c r="Y69">
        <v>-119.83386495030648</v>
      </c>
      <c r="Z69">
        <v>-1.6057289840887279E-5</v>
      </c>
      <c r="AA69">
        <v>450.58528004470088</v>
      </c>
      <c r="AB69">
        <v>-953.14379765271326</v>
      </c>
      <c r="AC69">
        <v>1017.0066779541256</v>
      </c>
      <c r="AD69">
        <v>-548.01802008231255</v>
      </c>
      <c r="AE69">
        <v>118.17485910684378</v>
      </c>
      <c r="AF69">
        <v>5.12</v>
      </c>
      <c r="AG69">
        <v>3600</v>
      </c>
    </row>
    <row r="70" spans="1:33" x14ac:dyDescent="0.3">
      <c r="A70" s="61" t="s">
        <v>59</v>
      </c>
      <c r="B70" s="111" t="s">
        <v>214</v>
      </c>
      <c r="C70" s="104" t="s">
        <v>314</v>
      </c>
      <c r="D70" s="63">
        <v>50.8</v>
      </c>
      <c r="E70" s="62">
        <v>482</v>
      </c>
      <c r="F70" s="62">
        <v>3360</v>
      </c>
      <c r="G70" s="62">
        <v>82</v>
      </c>
      <c r="H70">
        <v>3600.0010379187861</v>
      </c>
      <c r="I70">
        <v>-242.95192982935305</v>
      </c>
      <c r="J70">
        <v>315.84864936081465</v>
      </c>
      <c r="K70">
        <v>-668.53268938919109</v>
      </c>
      <c r="L70">
        <v>604.25123505167676</v>
      </c>
      <c r="M70">
        <v>-195.95717697020069</v>
      </c>
      <c r="N70">
        <v>40.243601891565753</v>
      </c>
      <c r="O70">
        <v>28.550481732050446</v>
      </c>
      <c r="P70">
        <v>5.348755796899149</v>
      </c>
      <c r="Q70">
        <v>76.32362971593956</v>
      </c>
      <c r="R70">
        <v>-75.873190894341505</v>
      </c>
      <c r="S70">
        <v>25.447514236469257</v>
      </c>
      <c r="T70">
        <v>9.9997004586760578</v>
      </c>
      <c r="U70">
        <v>197.34667186406082</v>
      </c>
      <c r="V70">
        <v>-195.94638632622352</v>
      </c>
      <c r="W70">
        <v>106.96331508078602</v>
      </c>
      <c r="X70">
        <v>-34.935411852919898</v>
      </c>
      <c r="Y70">
        <v>6.0127666943170812</v>
      </c>
      <c r="Z70">
        <v>2.2556688179520279E-5</v>
      </c>
      <c r="AA70">
        <v>515.21172563519872</v>
      </c>
      <c r="AB70">
        <v>-1251.2463232131129</v>
      </c>
      <c r="AC70">
        <v>1526.2775661422745</v>
      </c>
      <c r="AD70">
        <v>-929.67635532235408</v>
      </c>
      <c r="AE70">
        <v>223.83030264420063</v>
      </c>
      <c r="AF70">
        <v>5.12</v>
      </c>
      <c r="AG70">
        <v>3600</v>
      </c>
    </row>
    <row r="71" spans="1:33" x14ac:dyDescent="0.3">
      <c r="A71" s="61" t="s">
        <v>59</v>
      </c>
      <c r="B71" s="111" t="s">
        <v>214</v>
      </c>
      <c r="C71" s="104" t="s">
        <v>315</v>
      </c>
      <c r="D71" s="63">
        <v>69.5</v>
      </c>
      <c r="E71" s="62">
        <v>563</v>
      </c>
      <c r="F71" s="62">
        <v>4440</v>
      </c>
      <c r="G71" s="62">
        <v>72</v>
      </c>
      <c r="H71">
        <v>3600.0028832949056</v>
      </c>
      <c r="I71">
        <v>-54.809032299875746</v>
      </c>
      <c r="J71">
        <v>-439.56945271296371</v>
      </c>
      <c r="K71">
        <v>880.66848246872621</v>
      </c>
      <c r="L71">
        <v>-836.87649288963428</v>
      </c>
      <c r="M71">
        <v>284.80876591949891</v>
      </c>
      <c r="N71">
        <v>45.832099532432174</v>
      </c>
      <c r="O71">
        <v>25.734407772580909</v>
      </c>
      <c r="P71">
        <v>-14.590856995351356</v>
      </c>
      <c r="Q71">
        <v>128.3162760616425</v>
      </c>
      <c r="R71">
        <v>-135.06795191111686</v>
      </c>
      <c r="S71">
        <v>49.850844602730639</v>
      </c>
      <c r="T71">
        <v>8.9998881880602468</v>
      </c>
      <c r="U71">
        <v>259.7152119044876</v>
      </c>
      <c r="V71">
        <v>-478.34238366544542</v>
      </c>
      <c r="W71">
        <v>593.51006759438178</v>
      </c>
      <c r="X71">
        <v>-406.75117231094515</v>
      </c>
      <c r="Y71">
        <v>111.97516869020967</v>
      </c>
      <c r="Z71">
        <v>-3.5360952704621695E-4</v>
      </c>
      <c r="AA71">
        <v>458.1702859693425</v>
      </c>
      <c r="AB71">
        <v>-974.3813069080087</v>
      </c>
      <c r="AC71">
        <v>1029.5203528561108</v>
      </c>
      <c r="AD71">
        <v>-537.14934644181903</v>
      </c>
      <c r="AE71">
        <v>108.96181141005788</v>
      </c>
      <c r="AF71">
        <v>5.12</v>
      </c>
      <c r="AG71">
        <v>3600</v>
      </c>
    </row>
    <row r="72" spans="1:33" x14ac:dyDescent="0.3">
      <c r="A72" s="61" t="s">
        <v>59</v>
      </c>
      <c r="B72" s="111" t="s">
        <v>214</v>
      </c>
      <c r="C72" s="104" t="s">
        <v>316</v>
      </c>
      <c r="D72" s="63">
        <v>72.8</v>
      </c>
      <c r="E72" s="62">
        <v>643</v>
      </c>
      <c r="F72" s="62">
        <v>4740</v>
      </c>
      <c r="G72" s="62">
        <v>77</v>
      </c>
      <c r="H72">
        <v>3599.994575886245</v>
      </c>
      <c r="I72">
        <v>-166.30415579440037</v>
      </c>
      <c r="J72">
        <v>44.072955065312129</v>
      </c>
      <c r="K72">
        <v>-152.55080718244901</v>
      </c>
      <c r="L72">
        <v>161.72008045876535</v>
      </c>
      <c r="M72">
        <v>-63.049573592563803</v>
      </c>
      <c r="N72">
        <v>39.350897633494569</v>
      </c>
      <c r="O72">
        <v>24.144097230726263</v>
      </c>
      <c r="P72">
        <v>98.465712045139227</v>
      </c>
      <c r="Q72">
        <v>-182.20359743224793</v>
      </c>
      <c r="R72">
        <v>183.35199961721713</v>
      </c>
      <c r="S72">
        <v>-63.102549784752242</v>
      </c>
      <c r="T72">
        <v>9.6005503512371178</v>
      </c>
      <c r="U72">
        <v>252.30680948031002</v>
      </c>
      <c r="V72">
        <v>-373.78256626187675</v>
      </c>
      <c r="W72">
        <v>311.35541747038224</v>
      </c>
      <c r="X72">
        <v>-128.76232114812092</v>
      </c>
      <c r="Y72">
        <v>18.737821197572643</v>
      </c>
      <c r="Z72">
        <v>2.2668026162193655E-3</v>
      </c>
      <c r="AA72">
        <v>592.26572684696521</v>
      </c>
      <c r="AB72">
        <v>-1629.7045899760019</v>
      </c>
      <c r="AC72">
        <v>2210.4973183344478</v>
      </c>
      <c r="AD72">
        <v>-1469.3209421865693</v>
      </c>
      <c r="AE72">
        <v>380.91456282808866</v>
      </c>
      <c r="AF72">
        <v>5.12</v>
      </c>
      <c r="AG72">
        <v>3600</v>
      </c>
    </row>
    <row r="73" spans="1:33" x14ac:dyDescent="0.3">
      <c r="A73" s="61" t="s">
        <v>59</v>
      </c>
      <c r="B73" s="111" t="s">
        <v>214</v>
      </c>
      <c r="C73" s="104" t="s">
        <v>317</v>
      </c>
      <c r="D73" s="63">
        <v>76.099999999999994</v>
      </c>
      <c r="E73" s="62">
        <v>723</v>
      </c>
      <c r="F73" s="62">
        <v>5040</v>
      </c>
      <c r="G73" s="62">
        <v>82</v>
      </c>
      <c r="H73">
        <v>3600.0051678438458</v>
      </c>
      <c r="I73">
        <v>-163.21365247194299</v>
      </c>
      <c r="J73">
        <v>-26.797398880935411</v>
      </c>
      <c r="K73">
        <v>118.23957469977087</v>
      </c>
      <c r="L73">
        <v>-185.51104179252224</v>
      </c>
      <c r="M73">
        <v>70.109933245889309</v>
      </c>
      <c r="N73">
        <v>38.534138821895596</v>
      </c>
      <c r="O73">
        <v>20.470767655047307</v>
      </c>
      <c r="P73">
        <v>25.310154485861819</v>
      </c>
      <c r="Q73">
        <v>53.683119480630268</v>
      </c>
      <c r="R73">
        <v>-77.734114692439064</v>
      </c>
      <c r="S73">
        <v>39.806763218363308</v>
      </c>
      <c r="T73">
        <v>9.5063922985482687</v>
      </c>
      <c r="U73">
        <v>248.49674884454282</v>
      </c>
      <c r="V73">
        <v>-361.90160839335766</v>
      </c>
      <c r="W73">
        <v>285.04453756450408</v>
      </c>
      <c r="X73">
        <v>-106.80857887890761</v>
      </c>
      <c r="Y73">
        <v>12.233655690083571</v>
      </c>
      <c r="Z73">
        <v>1.2723742941119554E-2</v>
      </c>
      <c r="AA73">
        <v>577.96969115529043</v>
      </c>
      <c r="AB73">
        <v>-1613.5155356989324</v>
      </c>
      <c r="AC73">
        <v>2258.4760646644204</v>
      </c>
      <c r="AD73">
        <v>-1555.8520587693868</v>
      </c>
      <c r="AE73">
        <v>417.04712413766515</v>
      </c>
      <c r="AF73">
        <v>5.12</v>
      </c>
      <c r="AG73">
        <v>3600</v>
      </c>
    </row>
    <row r="74" spans="1:33" x14ac:dyDescent="0.3">
      <c r="A74" s="61" t="s">
        <v>59</v>
      </c>
      <c r="B74" s="111" t="s">
        <v>149</v>
      </c>
      <c r="C74" s="104" t="s">
        <v>318</v>
      </c>
      <c r="D74" s="63">
        <v>10.5</v>
      </c>
      <c r="E74" s="62">
        <v>101</v>
      </c>
      <c r="F74" s="62">
        <v>1476</v>
      </c>
      <c r="G74" s="62">
        <v>40</v>
      </c>
      <c r="H74">
        <v>3600.1716309621911</v>
      </c>
      <c r="I74">
        <v>-175.72517380118353</v>
      </c>
      <c r="J74">
        <v>209.62088933783198</v>
      </c>
      <c r="K74">
        <v>-520.46580455993626</v>
      </c>
      <c r="L74">
        <v>515.3411105436918</v>
      </c>
      <c r="M74">
        <v>-183.96474810579718</v>
      </c>
      <c r="N74">
        <v>33.025318667655796</v>
      </c>
      <c r="O74">
        <v>47.451977534619111</v>
      </c>
      <c r="P74">
        <v>-77.727583748432338</v>
      </c>
      <c r="Q74">
        <v>290.54450409058563</v>
      </c>
      <c r="R74">
        <v>-300.92960248203593</v>
      </c>
      <c r="S74">
        <v>107.57675361020532</v>
      </c>
      <c r="T74">
        <v>10.18235775795138</v>
      </c>
      <c r="U74">
        <v>234.19049046789794</v>
      </c>
      <c r="V74">
        <v>-191.55156248486622</v>
      </c>
      <c r="W74">
        <v>-152.82930637519317</v>
      </c>
      <c r="X74">
        <v>318.07237661355674</v>
      </c>
      <c r="Y74">
        <v>-130.59160091766063</v>
      </c>
      <c r="Z74">
        <v>-9.0073613075041692E-2</v>
      </c>
      <c r="AA74">
        <v>474.902347640404</v>
      </c>
      <c r="AB74">
        <v>-1038.5881271377993</v>
      </c>
      <c r="AC74">
        <v>1102.8015685398698</v>
      </c>
      <c r="AD74">
        <v>-554.76391874560375</v>
      </c>
      <c r="AE74">
        <v>102.3552841671694</v>
      </c>
      <c r="AF74">
        <v>5.62</v>
      </c>
      <c r="AG74">
        <v>3600</v>
      </c>
    </row>
    <row r="75" spans="1:33" x14ac:dyDescent="0.3">
      <c r="A75" s="61" t="s">
        <v>59</v>
      </c>
      <c r="B75" s="111" t="s">
        <v>149</v>
      </c>
      <c r="C75" s="104" t="s">
        <v>319</v>
      </c>
      <c r="D75" s="63">
        <v>12</v>
      </c>
      <c r="E75" s="62">
        <v>119</v>
      </c>
      <c r="F75" s="62">
        <v>1800</v>
      </c>
      <c r="G75" s="62">
        <v>39</v>
      </c>
      <c r="H75">
        <v>3600.2320118021789</v>
      </c>
      <c r="I75">
        <v>-191.89085025890847</v>
      </c>
      <c r="J75">
        <v>186.89316714682215</v>
      </c>
      <c r="K75">
        <v>-470.95559028146943</v>
      </c>
      <c r="L75">
        <v>496.48511560898612</v>
      </c>
      <c r="M75">
        <v>-183.07474871719489</v>
      </c>
      <c r="N75">
        <v>35.817913422650683</v>
      </c>
      <c r="O75">
        <v>43.00913544601886</v>
      </c>
      <c r="P75">
        <v>-34.362354438867428</v>
      </c>
      <c r="Q75">
        <v>205.20110619430284</v>
      </c>
      <c r="R75">
        <v>-255.5040158348242</v>
      </c>
      <c r="S75">
        <v>105.95719324563233</v>
      </c>
      <c r="T75">
        <v>11.319240074595619</v>
      </c>
      <c r="U75">
        <v>258.86921171305028</v>
      </c>
      <c r="V75">
        <v>-403.14394053529981</v>
      </c>
      <c r="W75">
        <v>347.46438642987158</v>
      </c>
      <c r="X75">
        <v>-159.01794522391637</v>
      </c>
      <c r="Y75">
        <v>30.374347947072906</v>
      </c>
      <c r="Z75">
        <v>-1.0867582620903704E-2</v>
      </c>
      <c r="AA75">
        <v>479.004451799707</v>
      </c>
      <c r="AB75">
        <v>-1089.5634849374585</v>
      </c>
      <c r="AC75">
        <v>1263.6132344874036</v>
      </c>
      <c r="AD75">
        <v>-736.76588388873813</v>
      </c>
      <c r="AE75">
        <v>169.65003629032998</v>
      </c>
      <c r="AF75">
        <v>5.62</v>
      </c>
      <c r="AG75">
        <v>3600</v>
      </c>
    </row>
    <row r="76" spans="1:33" x14ac:dyDescent="0.3">
      <c r="A76" s="61" t="s">
        <v>59</v>
      </c>
      <c r="B76" s="111" t="s">
        <v>149</v>
      </c>
      <c r="C76" s="104" t="s">
        <v>320</v>
      </c>
      <c r="D76" s="63">
        <v>13.4</v>
      </c>
      <c r="E76" s="62">
        <v>142</v>
      </c>
      <c r="F76" s="62">
        <v>2040</v>
      </c>
      <c r="G76" s="62">
        <v>40</v>
      </c>
      <c r="H76">
        <v>3600.0363819809959</v>
      </c>
      <c r="I76">
        <v>-174.65951185998139</v>
      </c>
      <c r="J76">
        <v>-8.043160196189385</v>
      </c>
      <c r="K76">
        <v>10.465016534975506</v>
      </c>
      <c r="L76">
        <v>0.82304941284584054</v>
      </c>
      <c r="M76">
        <v>-4.7993192961670621</v>
      </c>
      <c r="N76">
        <v>34.552354139525498</v>
      </c>
      <c r="O76">
        <v>24.205124049750516</v>
      </c>
      <c r="P76">
        <v>-23.471957783761329</v>
      </c>
      <c r="Q76">
        <v>189.10864428719498</v>
      </c>
      <c r="R76">
        <v>-196.70906941825967</v>
      </c>
      <c r="S76">
        <v>72.249438852747247</v>
      </c>
      <c r="T76">
        <v>11.554861010656005</v>
      </c>
      <c r="U76">
        <v>300.86442696707405</v>
      </c>
      <c r="V76">
        <v>-612.93699409788587</v>
      </c>
      <c r="W76">
        <v>768.70798131722336</v>
      </c>
      <c r="X76">
        <v>-527.35343602977548</v>
      </c>
      <c r="Y76">
        <v>147.50541823573235</v>
      </c>
      <c r="Z76">
        <v>6.4653992988937148E-2</v>
      </c>
      <c r="AA76">
        <v>499.13410457289979</v>
      </c>
      <c r="AB76">
        <v>-1242.2283317145946</v>
      </c>
      <c r="AC76">
        <v>1636.9394123212107</v>
      </c>
      <c r="AD76">
        <v>-1105.7360326079963</v>
      </c>
      <c r="AE76">
        <v>297.44319323689905</v>
      </c>
      <c r="AF76">
        <v>5.62</v>
      </c>
      <c r="AG76">
        <v>3600</v>
      </c>
    </row>
    <row r="77" spans="1:33" x14ac:dyDescent="0.3">
      <c r="A77" s="61" t="s">
        <v>59</v>
      </c>
      <c r="B77" s="111" t="s">
        <v>149</v>
      </c>
      <c r="C77" s="104" t="s">
        <v>321</v>
      </c>
      <c r="D77" s="63">
        <v>14.9</v>
      </c>
      <c r="E77" s="62">
        <v>161</v>
      </c>
      <c r="F77" s="62">
        <v>2340</v>
      </c>
      <c r="G77" s="62">
        <v>39.5</v>
      </c>
      <c r="H77">
        <v>3600.0337670845697</v>
      </c>
      <c r="I77">
        <v>-174.03054415723605</v>
      </c>
      <c r="J77">
        <v>50.651442417901876</v>
      </c>
      <c r="K77">
        <v>-176.46127730656139</v>
      </c>
      <c r="L77">
        <v>208.1716275931557</v>
      </c>
      <c r="M77">
        <v>-81.419215956100189</v>
      </c>
      <c r="N77">
        <v>33.164034159282593</v>
      </c>
      <c r="O77">
        <v>30.305968808314827</v>
      </c>
      <c r="P77">
        <v>98.208711651542558</v>
      </c>
      <c r="Q77">
        <v>-173.62685693047425</v>
      </c>
      <c r="R77">
        <v>169.59880327175358</v>
      </c>
      <c r="S77">
        <v>-57.823922572365682</v>
      </c>
      <c r="T77">
        <v>11.30319781374126</v>
      </c>
      <c r="U77">
        <v>298.14301014167268</v>
      </c>
      <c r="V77">
        <v>-530.92247036473179</v>
      </c>
      <c r="W77">
        <v>536.62639505688173</v>
      </c>
      <c r="X77">
        <v>-296.82579957356614</v>
      </c>
      <c r="Y77">
        <v>69.736086704744309</v>
      </c>
      <c r="Z77">
        <v>3.1138808433667009E-2</v>
      </c>
      <c r="AA77">
        <v>564.28362421055294</v>
      </c>
      <c r="AB77">
        <v>-1530.8810112451281</v>
      </c>
      <c r="AC77">
        <v>2103.4021917081322</v>
      </c>
      <c r="AD77">
        <v>-1430.9971300484622</v>
      </c>
      <c r="AE77">
        <v>379.94501398012653</v>
      </c>
      <c r="AF77">
        <v>5.62</v>
      </c>
      <c r="AG77">
        <v>3600</v>
      </c>
    </row>
    <row r="78" spans="1:33" x14ac:dyDescent="0.3">
      <c r="A78" t="s">
        <v>59</v>
      </c>
      <c r="B78" s="114" t="s">
        <v>149</v>
      </c>
      <c r="C78" s="107" t="s">
        <v>322</v>
      </c>
      <c r="D78">
        <v>16.399999999999999</v>
      </c>
      <c r="E78">
        <v>177</v>
      </c>
      <c r="F78">
        <v>2400</v>
      </c>
      <c r="G78">
        <v>41.5</v>
      </c>
      <c r="H78">
        <v>3599.8918661921393</v>
      </c>
      <c r="I78">
        <v>-223.3702577843861</v>
      </c>
      <c r="J78">
        <v>230.96379777900512</v>
      </c>
      <c r="K78">
        <v>-485.754179665697</v>
      </c>
      <c r="L78">
        <v>386.95577771762248</v>
      </c>
      <c r="M78">
        <v>-113.88340524466254</v>
      </c>
      <c r="N78">
        <v>25.547262116830108</v>
      </c>
      <c r="O78">
        <v>30.086812508166293</v>
      </c>
      <c r="P78">
        <v>40.633497834344766</v>
      </c>
      <c r="Q78">
        <v>24.521864455792532</v>
      </c>
      <c r="R78">
        <v>-25.127384060935736</v>
      </c>
      <c r="S78">
        <v>4.3158811153400229</v>
      </c>
      <c r="T78">
        <v>13.704591283189929</v>
      </c>
      <c r="U78">
        <v>298.68583327857078</v>
      </c>
      <c r="V78">
        <v>-447.28375860120769</v>
      </c>
      <c r="W78">
        <v>300.50048421720868</v>
      </c>
      <c r="X78">
        <v>-69.157922285824071</v>
      </c>
      <c r="Y78">
        <v>-4.5452901030724853</v>
      </c>
      <c r="Z78">
        <v>5.1353732376185235E-2</v>
      </c>
      <c r="AA78">
        <v>528.46107066688228</v>
      </c>
      <c r="AB78">
        <v>-1313.5160461737053</v>
      </c>
      <c r="AC78">
        <v>1663.2582123185935</v>
      </c>
      <c r="AD78">
        <v>-1061.8578173280098</v>
      </c>
      <c r="AE78">
        <v>268.32108260363782</v>
      </c>
      <c r="AF78">
        <v>5.62</v>
      </c>
      <c r="AG78">
        <v>3600</v>
      </c>
    </row>
    <row r="79" spans="1:33" x14ac:dyDescent="0.3">
      <c r="A79" t="s">
        <v>59</v>
      </c>
      <c r="B79" s="114" t="s">
        <v>149</v>
      </c>
      <c r="C79" s="107" t="s">
        <v>323</v>
      </c>
      <c r="D79">
        <v>16.399999999999999</v>
      </c>
      <c r="E79">
        <v>177</v>
      </c>
      <c r="F79">
        <v>1164</v>
      </c>
      <c r="G79">
        <v>88</v>
      </c>
      <c r="H79">
        <v>3599.9996963914455</v>
      </c>
      <c r="I79">
        <v>-157.36450784947266</v>
      </c>
      <c r="J79">
        <v>32.082820942040165</v>
      </c>
      <c r="K79">
        <v>-59.855049365438759</v>
      </c>
      <c r="L79">
        <v>24.085928403845489</v>
      </c>
      <c r="M79">
        <v>-0.95915201110196679</v>
      </c>
      <c r="N79">
        <v>38.656420997052706</v>
      </c>
      <c r="O79">
        <v>34.680761717653141</v>
      </c>
      <c r="P79">
        <v>22.745139567421258</v>
      </c>
      <c r="Q79">
        <v>-8.4818460549831212</v>
      </c>
      <c r="R79">
        <v>25.774030628638478</v>
      </c>
      <c r="S79">
        <v>-13.434105794527166</v>
      </c>
      <c r="T79">
        <v>11.997757393228881</v>
      </c>
      <c r="U79">
        <v>289.29668102242425</v>
      </c>
      <c r="V79">
        <v>-590.87126868363021</v>
      </c>
      <c r="W79">
        <v>746.09522741881972</v>
      </c>
      <c r="X79">
        <v>-508.83868524700603</v>
      </c>
      <c r="Y79">
        <v>139.30500108421251</v>
      </c>
      <c r="Z79">
        <v>3.2822643273277663E-2</v>
      </c>
      <c r="AA79">
        <v>600.12812757130894</v>
      </c>
      <c r="AB79">
        <v>-1670.5688564222094</v>
      </c>
      <c r="AC79">
        <v>2303.5955086128856</v>
      </c>
      <c r="AD79">
        <v>-1554.6488307353927</v>
      </c>
      <c r="AE79">
        <v>407.28153887713023</v>
      </c>
      <c r="AF79">
        <v>5.62</v>
      </c>
      <c r="AG79">
        <v>3600</v>
      </c>
    </row>
    <row r="80" spans="1:33" x14ac:dyDescent="0.3">
      <c r="A80" t="s">
        <v>59</v>
      </c>
      <c r="B80" s="114" t="s">
        <v>149</v>
      </c>
      <c r="C80" s="107" t="s">
        <v>324</v>
      </c>
      <c r="D80">
        <v>17.899999999999999</v>
      </c>
      <c r="E80">
        <v>198</v>
      </c>
      <c r="F80">
        <v>2916</v>
      </c>
      <c r="G80">
        <v>39</v>
      </c>
      <c r="H80">
        <v>3599.9147222845431</v>
      </c>
      <c r="I80">
        <v>-235.7971509115084</v>
      </c>
      <c r="J80">
        <v>374.75623385364673</v>
      </c>
      <c r="K80">
        <v>-790.26677987603591</v>
      </c>
      <c r="L80">
        <v>713.58255788297572</v>
      </c>
      <c r="M80">
        <v>-231.34777001356676</v>
      </c>
      <c r="N80">
        <v>32.645024274924026</v>
      </c>
      <c r="O80">
        <v>26.460809394454579</v>
      </c>
      <c r="P80">
        <v>45.071089162761133</v>
      </c>
      <c r="Q80">
        <v>5.416547375116318</v>
      </c>
      <c r="R80">
        <v>-19.557522672198058</v>
      </c>
      <c r="S80">
        <v>9.8353424206073488</v>
      </c>
      <c r="T80">
        <v>12.608997780633896</v>
      </c>
      <c r="U80">
        <v>257.75153847174346</v>
      </c>
      <c r="V80">
        <v>-402.0498869278548</v>
      </c>
      <c r="W80">
        <v>385.26453839417815</v>
      </c>
      <c r="X80">
        <v>-223.4658132244781</v>
      </c>
      <c r="Y80">
        <v>58.026950224476643</v>
      </c>
      <c r="Z80">
        <v>0.18606213412220995</v>
      </c>
      <c r="AA80">
        <v>655.03041845517487</v>
      </c>
      <c r="AB80">
        <v>-2025.3614236348121</v>
      </c>
      <c r="AC80">
        <v>3071.8132886015751</v>
      </c>
      <c r="AD80">
        <v>-2239.067384536399</v>
      </c>
      <c r="AE80">
        <v>623.10866443500686</v>
      </c>
      <c r="AF80">
        <v>5.62</v>
      </c>
      <c r="AG80">
        <v>3600</v>
      </c>
    </row>
    <row r="81" spans="1:33" x14ac:dyDescent="0.3">
      <c r="A81" t="s">
        <v>59</v>
      </c>
      <c r="B81" s="114" t="s">
        <v>149</v>
      </c>
      <c r="C81" s="107" t="s">
        <v>325</v>
      </c>
      <c r="D81">
        <v>17.899999999999999</v>
      </c>
      <c r="E81">
        <v>198</v>
      </c>
      <c r="F81">
        <v>1284</v>
      </c>
      <c r="G81">
        <v>88.5</v>
      </c>
      <c r="H81">
        <v>3600.0572309080535</v>
      </c>
      <c r="I81">
        <v>-195.70833523769377</v>
      </c>
      <c r="J81">
        <v>196.82541856620293</v>
      </c>
      <c r="K81">
        <v>-549.70242936729267</v>
      </c>
      <c r="L81">
        <v>639.21441528755224</v>
      </c>
      <c r="M81">
        <v>-256.72160308533216</v>
      </c>
      <c r="N81">
        <v>36.948064023108486</v>
      </c>
      <c r="O81">
        <v>15.669650813990092</v>
      </c>
      <c r="P81">
        <v>84.05925022865766</v>
      </c>
      <c r="Q81">
        <v>-104.72365163364461</v>
      </c>
      <c r="R81">
        <v>103.98469413554474</v>
      </c>
      <c r="S81">
        <v>-36.021408291365027</v>
      </c>
      <c r="T81">
        <v>15.050693506498746</v>
      </c>
      <c r="U81">
        <v>318.86453754106464</v>
      </c>
      <c r="V81">
        <v>-728.12191157146594</v>
      </c>
      <c r="W81">
        <v>990.65863663532946</v>
      </c>
      <c r="X81">
        <v>-716.72547283119684</v>
      </c>
      <c r="Y81">
        <v>207.91948536091408</v>
      </c>
      <c r="Z81">
        <v>7.7879970774006324E-3</v>
      </c>
      <c r="AA81">
        <v>514.50271436832134</v>
      </c>
      <c r="AB81">
        <v>-1258.697048600349</v>
      </c>
      <c r="AC81">
        <v>1570.6386494544065</v>
      </c>
      <c r="AD81">
        <v>-984.19700340019051</v>
      </c>
      <c r="AE81">
        <v>243.71701348806832</v>
      </c>
      <c r="AF81">
        <v>5.62</v>
      </c>
      <c r="AG81">
        <v>3600</v>
      </c>
    </row>
    <row r="82" spans="1:33" x14ac:dyDescent="0.3">
      <c r="A82" t="s">
        <v>59</v>
      </c>
      <c r="B82" s="114" t="s">
        <v>149</v>
      </c>
      <c r="C82" s="107" t="s">
        <v>326</v>
      </c>
      <c r="D82">
        <v>19.3</v>
      </c>
      <c r="E82">
        <v>238</v>
      </c>
      <c r="F82">
        <v>2880</v>
      </c>
      <c r="G82">
        <v>48.5</v>
      </c>
      <c r="H82">
        <v>3600.034403190863</v>
      </c>
      <c r="I82">
        <v>-208.9327254229901</v>
      </c>
      <c r="J82">
        <v>61.164076416073343</v>
      </c>
      <c r="K82">
        <v>-189.50665188246577</v>
      </c>
      <c r="L82">
        <v>231.04837550337444</v>
      </c>
      <c r="M82">
        <v>-101.79180712077195</v>
      </c>
      <c r="N82">
        <v>32.10266747876706</v>
      </c>
      <c r="O82">
        <v>18.677668305954445</v>
      </c>
      <c r="P82">
        <v>125.12539613898805</v>
      </c>
      <c r="Q82">
        <v>-240.10958918369644</v>
      </c>
      <c r="R82">
        <v>279.38474730746879</v>
      </c>
      <c r="S82">
        <v>-115.16756230119034</v>
      </c>
      <c r="T82">
        <v>11.316381635248021</v>
      </c>
      <c r="U82">
        <v>347.03765845289053</v>
      </c>
      <c r="V82">
        <v>-870.3980774279089</v>
      </c>
      <c r="W82">
        <v>1319.8916864803525</v>
      </c>
      <c r="X82">
        <v>-1061.4755439394278</v>
      </c>
      <c r="Y82">
        <v>341.75096235641655</v>
      </c>
      <c r="Z82">
        <v>3.0757399916723216E-2</v>
      </c>
      <c r="AA82">
        <v>695.4466749416315</v>
      </c>
      <c r="AB82">
        <v>-2288.5175267812515</v>
      </c>
      <c r="AC82">
        <v>3733.6220282959475</v>
      </c>
      <c r="AD82">
        <v>-2968.0203128278763</v>
      </c>
      <c r="AE82">
        <v>912.48594194820987</v>
      </c>
      <c r="AF82">
        <v>5.62</v>
      </c>
      <c r="AG82">
        <v>3600</v>
      </c>
    </row>
    <row r="83" spans="1:33" x14ac:dyDescent="0.3">
      <c r="A83" t="s">
        <v>59</v>
      </c>
      <c r="B83" s="114" t="s">
        <v>149</v>
      </c>
      <c r="C83" s="107" t="s">
        <v>327</v>
      </c>
      <c r="D83">
        <v>20.8</v>
      </c>
      <c r="E83">
        <v>243</v>
      </c>
      <c r="F83">
        <v>3120</v>
      </c>
      <c r="G83">
        <v>44.6</v>
      </c>
      <c r="H83">
        <v>3599.8912563554477</v>
      </c>
      <c r="I83">
        <v>-185.0935460594639</v>
      </c>
      <c r="J83">
        <v>69.991007649526509</v>
      </c>
      <c r="K83">
        <v>-142.79647461565827</v>
      </c>
      <c r="L83">
        <v>130.93791466195898</v>
      </c>
      <c r="M83">
        <v>-45.355232967718159</v>
      </c>
      <c r="N83">
        <v>34.33800087544725</v>
      </c>
      <c r="O83">
        <v>16.249365198370366</v>
      </c>
      <c r="P83">
        <v>101.22559551360774</v>
      </c>
      <c r="Q83">
        <v>-131.67542311230665</v>
      </c>
      <c r="R83">
        <v>114.95346495464609</v>
      </c>
      <c r="S83">
        <v>-35.243667591024654</v>
      </c>
      <c r="T83">
        <v>11.814200161218558</v>
      </c>
      <c r="U83">
        <v>249.5943322520981</v>
      </c>
      <c r="V83">
        <v>-384.26605098779447</v>
      </c>
      <c r="W83">
        <v>360.38826485731431</v>
      </c>
      <c r="X83">
        <v>-194.70571152794187</v>
      </c>
      <c r="Y83">
        <v>45.373066560042226</v>
      </c>
      <c r="Z83">
        <v>7.3299968282810823E-2</v>
      </c>
      <c r="AA83">
        <v>565.30145004422855</v>
      </c>
      <c r="AB83">
        <v>-1521.8428993624702</v>
      </c>
      <c r="AC83">
        <v>2076.1496230217972</v>
      </c>
      <c r="AD83">
        <v>-1407.8622846592277</v>
      </c>
      <c r="AE83">
        <v>374.01669228122114</v>
      </c>
      <c r="AF83">
        <v>5.62</v>
      </c>
      <c r="AG83">
        <v>3600</v>
      </c>
    </row>
    <row r="84" spans="1:33" x14ac:dyDescent="0.3">
      <c r="A84" t="s">
        <v>59</v>
      </c>
      <c r="B84" s="114" t="s">
        <v>149</v>
      </c>
      <c r="C84" s="107" t="s">
        <v>328</v>
      </c>
      <c r="D84">
        <v>22.3</v>
      </c>
      <c r="E84">
        <v>264</v>
      </c>
      <c r="F84">
        <v>2964</v>
      </c>
      <c r="G84">
        <v>51</v>
      </c>
      <c r="H84">
        <v>3600.0961367049676</v>
      </c>
      <c r="I84">
        <v>-170.06614631095505</v>
      </c>
      <c r="J84">
        <v>40.274551985934856</v>
      </c>
      <c r="K84">
        <v>-159.97218283278423</v>
      </c>
      <c r="L84">
        <v>190.81581238763056</v>
      </c>
      <c r="M84">
        <v>-74.217938732376069</v>
      </c>
      <c r="N84">
        <v>36.081637278970568</v>
      </c>
      <c r="O84">
        <v>21.561723313208681</v>
      </c>
      <c r="P84">
        <v>29.772798787011777</v>
      </c>
      <c r="Q84">
        <v>39.861089026460306</v>
      </c>
      <c r="R84">
        <v>-40.607235051192937</v>
      </c>
      <c r="S84">
        <v>13.200176672632743</v>
      </c>
      <c r="T84">
        <v>13.723052217057237</v>
      </c>
      <c r="U84">
        <v>263.51276619426125</v>
      </c>
      <c r="V84">
        <v>-500.81649307113554</v>
      </c>
      <c r="W84">
        <v>603.5486654935072</v>
      </c>
      <c r="X84">
        <v>-397.64800010690516</v>
      </c>
      <c r="Y84">
        <v>105.65779407374744</v>
      </c>
      <c r="Z84">
        <v>8.7744751769179175E-2</v>
      </c>
      <c r="AA84">
        <v>554.35953273283019</v>
      </c>
      <c r="AB84">
        <v>-1504.9414674891962</v>
      </c>
      <c r="AC84">
        <v>2090.7313027846922</v>
      </c>
      <c r="AD84">
        <v>-1444.2939587705821</v>
      </c>
      <c r="AE84">
        <v>389.75917785986775</v>
      </c>
      <c r="AF84">
        <v>5.62</v>
      </c>
      <c r="AG84">
        <v>3600</v>
      </c>
    </row>
    <row r="85" spans="1:33" x14ac:dyDescent="0.3">
      <c r="A85" t="s">
        <v>59</v>
      </c>
      <c r="B85" s="114" t="s">
        <v>149</v>
      </c>
      <c r="C85" s="107" t="s">
        <v>329</v>
      </c>
      <c r="D85">
        <v>23.8</v>
      </c>
      <c r="E85">
        <v>297</v>
      </c>
      <c r="F85">
        <v>2880</v>
      </c>
      <c r="G85">
        <v>62</v>
      </c>
      <c r="H85">
        <v>3600.1854797276778</v>
      </c>
      <c r="I85">
        <v>-178.16077087805311</v>
      </c>
      <c r="J85">
        <v>93.293226689550821</v>
      </c>
      <c r="K85">
        <v>-224.75850058586997</v>
      </c>
      <c r="L85">
        <v>242.81866595973599</v>
      </c>
      <c r="M85">
        <v>-95.599204193467969</v>
      </c>
      <c r="N85">
        <v>32.094883917257164</v>
      </c>
      <c r="O85">
        <v>68.01939467221483</v>
      </c>
      <c r="P85">
        <v>-77.964553693383635</v>
      </c>
      <c r="Q85">
        <v>179.00535864025517</v>
      </c>
      <c r="R85">
        <v>-145.20355987276594</v>
      </c>
      <c r="S85">
        <v>44.306040789347982</v>
      </c>
      <c r="T85">
        <v>10.79097935540122</v>
      </c>
      <c r="U85">
        <v>278.84047849327959</v>
      </c>
      <c r="V85">
        <v>-617.71865167117642</v>
      </c>
      <c r="W85">
        <v>852.77591523418619</v>
      </c>
      <c r="X85">
        <v>-616.88874312829932</v>
      </c>
      <c r="Y85">
        <v>175.92763494396388</v>
      </c>
      <c r="Z85">
        <v>5.2880136077277484E-2</v>
      </c>
      <c r="AA85">
        <v>508.92164799686088</v>
      </c>
      <c r="AB85">
        <v>-1263.2643573361638</v>
      </c>
      <c r="AC85">
        <v>1623.2233965617484</v>
      </c>
      <c r="AD85">
        <v>-1055.484991943101</v>
      </c>
      <c r="AE85">
        <v>272.30569889924192</v>
      </c>
      <c r="AF85">
        <v>5.62</v>
      </c>
      <c r="AG85">
        <v>3600</v>
      </c>
    </row>
    <row r="86" spans="1:33" x14ac:dyDescent="0.3">
      <c r="A86" t="s">
        <v>59</v>
      </c>
      <c r="B86" s="114" t="s">
        <v>149</v>
      </c>
      <c r="C86" s="107" t="s">
        <v>330</v>
      </c>
      <c r="D86">
        <v>25.2</v>
      </c>
      <c r="E86">
        <v>306</v>
      </c>
      <c r="F86">
        <v>2916</v>
      </c>
      <c r="G86">
        <v>60</v>
      </c>
      <c r="H86">
        <v>3599.9612766973137</v>
      </c>
      <c r="I86">
        <v>-164.62412155816426</v>
      </c>
      <c r="J86">
        <v>-16.25600281158966</v>
      </c>
      <c r="K86">
        <v>13.190638755305303</v>
      </c>
      <c r="L86">
        <v>-4.4496763418433467</v>
      </c>
      <c r="M86">
        <v>-0.31839657302035629</v>
      </c>
      <c r="N86">
        <v>27.8244546748688</v>
      </c>
      <c r="O86">
        <v>38.861655870968839</v>
      </c>
      <c r="P86">
        <v>44.733586187194682</v>
      </c>
      <c r="Q86">
        <v>-4.3603147490472249</v>
      </c>
      <c r="R86">
        <v>-22.329144781633808</v>
      </c>
      <c r="S86">
        <v>15.245435804264133</v>
      </c>
      <c r="T86">
        <v>13.238108494520958</v>
      </c>
      <c r="U86">
        <v>309.95123468957405</v>
      </c>
      <c r="V86">
        <v>-664.98648961518347</v>
      </c>
      <c r="W86">
        <v>852.36310369455475</v>
      </c>
      <c r="X86">
        <v>-582.14402520225406</v>
      </c>
      <c r="Y86">
        <v>159.7319442691842</v>
      </c>
      <c r="Z86">
        <v>3.5362458032651034E-2</v>
      </c>
      <c r="AA86">
        <v>479.36698705505881</v>
      </c>
      <c r="AB86">
        <v>-1110.9662078361437</v>
      </c>
      <c r="AC86">
        <v>1344.8003945444782</v>
      </c>
      <c r="AD86">
        <v>-834.56193408731463</v>
      </c>
      <c r="AE86">
        <v>206.99348133877621</v>
      </c>
      <c r="AF86">
        <v>5.62</v>
      </c>
      <c r="AG86">
        <v>3600</v>
      </c>
    </row>
    <row r="87" spans="1:33" x14ac:dyDescent="0.3">
      <c r="A87" t="s">
        <v>59</v>
      </c>
      <c r="B87" s="114" t="s">
        <v>149</v>
      </c>
      <c r="C87" s="107" t="s">
        <v>331</v>
      </c>
      <c r="D87">
        <v>26.7</v>
      </c>
      <c r="E87">
        <v>354</v>
      </c>
      <c r="F87">
        <v>3120</v>
      </c>
      <c r="G87">
        <v>65</v>
      </c>
      <c r="H87">
        <v>3600.0539525628287</v>
      </c>
      <c r="I87">
        <v>-215.19100166216791</v>
      </c>
      <c r="J87">
        <v>116.60493644100148</v>
      </c>
      <c r="K87">
        <v>-215.10903988939586</v>
      </c>
      <c r="L87">
        <v>190.34278845661717</v>
      </c>
      <c r="M87">
        <v>-64.321045541191808</v>
      </c>
      <c r="N87">
        <v>22.100770075430948</v>
      </c>
      <c r="O87">
        <v>53.12206961445991</v>
      </c>
      <c r="P87">
        <v>17.990065652118208</v>
      </c>
      <c r="Q87">
        <v>19.020346146206062</v>
      </c>
      <c r="R87">
        <v>-24.660318847206934</v>
      </c>
      <c r="S87">
        <v>12.69600123115837</v>
      </c>
      <c r="T87">
        <v>15.136705438166302</v>
      </c>
      <c r="U87">
        <v>310.77089866914139</v>
      </c>
      <c r="V87">
        <v>-729.40092407920349</v>
      </c>
      <c r="W87">
        <v>1025.9693752449596</v>
      </c>
      <c r="X87">
        <v>-747.0520647885437</v>
      </c>
      <c r="Y87">
        <v>213.33831808251296</v>
      </c>
      <c r="Z87">
        <v>4.4736161692895848E-2</v>
      </c>
      <c r="AA87">
        <v>545.10337533669247</v>
      </c>
      <c r="AB87">
        <v>-1408.9479816627213</v>
      </c>
      <c r="AC87">
        <v>1861.0441077387397</v>
      </c>
      <c r="AD87">
        <v>-1237.502138851054</v>
      </c>
      <c r="AE87">
        <v>325.45590434502355</v>
      </c>
      <c r="AF87">
        <v>5.62</v>
      </c>
      <c r="AG87">
        <v>3600</v>
      </c>
    </row>
    <row r="88" spans="1:33" x14ac:dyDescent="0.3">
      <c r="A88" t="s">
        <v>59</v>
      </c>
      <c r="B88" s="114" t="s">
        <v>149</v>
      </c>
      <c r="C88" s="107" t="s">
        <v>332</v>
      </c>
      <c r="D88">
        <v>35.200000000000003</v>
      </c>
      <c r="E88">
        <v>418</v>
      </c>
      <c r="F88">
        <v>3960</v>
      </c>
      <c r="G88">
        <v>61.5</v>
      </c>
      <c r="H88">
        <v>3600.0501500330793</v>
      </c>
      <c r="I88">
        <v>-152.95984695759645</v>
      </c>
      <c r="J88">
        <v>-105.33611351443486</v>
      </c>
      <c r="K88">
        <v>190.9979702665988</v>
      </c>
      <c r="L88">
        <v>-141.28803639265442</v>
      </c>
      <c r="M88">
        <v>35.708315895661016</v>
      </c>
      <c r="N88">
        <v>33.341820701919566</v>
      </c>
      <c r="O88">
        <v>35.154260231482134</v>
      </c>
      <c r="P88">
        <v>43.977678515127224</v>
      </c>
      <c r="Q88">
        <v>-34.190706578761862</v>
      </c>
      <c r="R88">
        <v>32.510154492233468</v>
      </c>
      <c r="S88">
        <v>-10.83700266318586</v>
      </c>
      <c r="T88">
        <v>12.735312857123361</v>
      </c>
      <c r="U88">
        <v>299.42024516113577</v>
      </c>
      <c r="V88">
        <v>-651.71494715890049</v>
      </c>
      <c r="W88">
        <v>855.22548143454594</v>
      </c>
      <c r="X88">
        <v>-589.75632029641963</v>
      </c>
      <c r="Y88">
        <v>161.13053628426402</v>
      </c>
      <c r="Z88">
        <v>3.1650042170241477E-2</v>
      </c>
      <c r="AA88">
        <v>545.81716558402024</v>
      </c>
      <c r="AB88">
        <v>-1409.5317307818643</v>
      </c>
      <c r="AC88">
        <v>1844.1290743554709</v>
      </c>
      <c r="AD88">
        <v>-1202.9322450863717</v>
      </c>
      <c r="AE88">
        <v>308.04644850075044</v>
      </c>
      <c r="AF88">
        <v>5.62</v>
      </c>
      <c r="AG88">
        <v>3600</v>
      </c>
    </row>
    <row r="89" spans="1:33" x14ac:dyDescent="0.3">
      <c r="A89" t="s">
        <v>59</v>
      </c>
      <c r="B89" s="114" t="s">
        <v>149</v>
      </c>
      <c r="C89" s="107" t="s">
        <v>333</v>
      </c>
      <c r="D89">
        <v>38.200000000000003</v>
      </c>
      <c r="E89">
        <v>476</v>
      </c>
      <c r="F89">
        <v>4320</v>
      </c>
      <c r="G89">
        <v>63.5</v>
      </c>
      <c r="H89">
        <v>3600.0821818997301</v>
      </c>
      <c r="I89">
        <v>-204.57057050053621</v>
      </c>
      <c r="J89">
        <v>106.90503081902474</v>
      </c>
      <c r="K89">
        <v>-285.09899590804218</v>
      </c>
      <c r="L89">
        <v>330.50862293439002</v>
      </c>
      <c r="M89">
        <v>-131.57867494499709</v>
      </c>
      <c r="N89">
        <v>37.789143206037146</v>
      </c>
      <c r="O89">
        <v>52.055078868903372</v>
      </c>
      <c r="P89">
        <v>-18.443354778871019</v>
      </c>
      <c r="Q89">
        <v>102.95345599590041</v>
      </c>
      <c r="R89">
        <v>-125.93701658463686</v>
      </c>
      <c r="S89">
        <v>51.757616735735198</v>
      </c>
      <c r="T89">
        <v>10.108533837764185</v>
      </c>
      <c r="U89">
        <v>405.07360954084641</v>
      </c>
      <c r="V89">
        <v>-1084.972756519632</v>
      </c>
      <c r="W89">
        <v>1625.1764476150572</v>
      </c>
      <c r="X89">
        <v>-1227.691362791915</v>
      </c>
      <c r="Y89">
        <v>360.14180772186091</v>
      </c>
      <c r="Z89">
        <v>0.13981318608938409</v>
      </c>
      <c r="AA89">
        <v>679.52692679988445</v>
      </c>
      <c r="AB89">
        <v>-2126.4489468943407</v>
      </c>
      <c r="AC89">
        <v>3247.0920256756276</v>
      </c>
      <c r="AD89">
        <v>-2392.2498697215256</v>
      </c>
      <c r="AE89">
        <v>676.97815367265287</v>
      </c>
      <c r="AF89">
        <v>5.62</v>
      </c>
      <c r="AG89">
        <v>3600</v>
      </c>
    </row>
    <row r="90" spans="1:33" x14ac:dyDescent="0.3">
      <c r="A90" t="s">
        <v>59</v>
      </c>
      <c r="B90" s="114" t="s">
        <v>149</v>
      </c>
      <c r="C90" s="107" t="s">
        <v>334</v>
      </c>
      <c r="D90">
        <v>41.2</v>
      </c>
      <c r="E90">
        <v>508</v>
      </c>
      <c r="F90">
        <v>4704</v>
      </c>
      <c r="G90">
        <v>62.5</v>
      </c>
      <c r="H90">
        <v>3600.0318399021589</v>
      </c>
      <c r="I90">
        <v>-210.43343639503871</v>
      </c>
      <c r="J90">
        <v>203.60190959894598</v>
      </c>
      <c r="K90">
        <v>-465.8679155182466</v>
      </c>
      <c r="L90">
        <v>447.52517419173057</v>
      </c>
      <c r="M90">
        <v>-151.39150893551169</v>
      </c>
      <c r="N90">
        <v>35.352686196129639</v>
      </c>
      <c r="O90">
        <v>37.019611423146529</v>
      </c>
      <c r="P90">
        <v>18.284601192041464</v>
      </c>
      <c r="Q90">
        <v>12.320140624207003</v>
      </c>
      <c r="R90">
        <v>-0.66251078092983828</v>
      </c>
      <c r="S90">
        <v>-2.313865372881144</v>
      </c>
      <c r="T90">
        <v>10.933872294742031</v>
      </c>
      <c r="U90">
        <v>396.85419351231047</v>
      </c>
      <c r="V90">
        <v>-1059.2754578734139</v>
      </c>
      <c r="W90">
        <v>1576.175117376687</v>
      </c>
      <c r="X90">
        <v>-1178.4747027462095</v>
      </c>
      <c r="Y90">
        <v>341.59434391435371</v>
      </c>
      <c r="Z90">
        <v>0.24376803882842069</v>
      </c>
      <c r="AA90">
        <v>636.64960874063104</v>
      </c>
      <c r="AB90">
        <v>-1879.5263121103699</v>
      </c>
      <c r="AC90">
        <v>2738.6618119265645</v>
      </c>
      <c r="AD90">
        <v>-1945.9758860469976</v>
      </c>
      <c r="AE90">
        <v>535.22708356129101</v>
      </c>
      <c r="AF90">
        <v>5.62</v>
      </c>
      <c r="AG90">
        <v>3600</v>
      </c>
    </row>
    <row r="91" spans="1:33" x14ac:dyDescent="0.3">
      <c r="A91" t="s">
        <v>59</v>
      </c>
      <c r="B91" s="114" t="s">
        <v>149</v>
      </c>
      <c r="C91" s="107" t="s">
        <v>335</v>
      </c>
      <c r="D91">
        <v>44.1</v>
      </c>
      <c r="E91">
        <v>546</v>
      </c>
      <c r="F91">
        <v>3768</v>
      </c>
      <c r="G91">
        <v>83</v>
      </c>
      <c r="H91">
        <v>3600.3270379609903</v>
      </c>
      <c r="I91">
        <v>-221.62075144367094</v>
      </c>
      <c r="J91">
        <v>202.8972965428004</v>
      </c>
      <c r="K91">
        <v>-372.08725660054063</v>
      </c>
      <c r="L91">
        <v>299.50809309130415</v>
      </c>
      <c r="M91">
        <v>-89.635957759701938</v>
      </c>
      <c r="N91">
        <v>34.605409658768764</v>
      </c>
      <c r="O91">
        <v>57.569469489051293</v>
      </c>
      <c r="P91">
        <v>-37.702693701317479</v>
      </c>
      <c r="Q91">
        <v>158.35273403345965</v>
      </c>
      <c r="R91">
        <v>-184.29418261302968</v>
      </c>
      <c r="S91">
        <v>71.575997903186504</v>
      </c>
      <c r="T91">
        <v>11.755414263669891</v>
      </c>
      <c r="U91">
        <v>357.89002399981467</v>
      </c>
      <c r="V91">
        <v>-846.07313146074375</v>
      </c>
      <c r="W91">
        <v>1143.5627663261394</v>
      </c>
      <c r="X91">
        <v>-802.21250186793736</v>
      </c>
      <c r="Y91">
        <v>223.41499831641497</v>
      </c>
      <c r="Z91">
        <v>0.30188763866703994</v>
      </c>
      <c r="AA91">
        <v>574.88693287045874</v>
      </c>
      <c r="AB91">
        <v>-1595.2870252440189</v>
      </c>
      <c r="AC91">
        <v>2250.4849113154505</v>
      </c>
      <c r="AD91">
        <v>-1574.3966206658251</v>
      </c>
      <c r="AE91">
        <v>429.57603562824141</v>
      </c>
      <c r="AF91">
        <v>5.62</v>
      </c>
      <c r="AG91">
        <v>3600</v>
      </c>
    </row>
    <row r="92" spans="1:33" x14ac:dyDescent="0.3">
      <c r="A92" t="s">
        <v>59</v>
      </c>
      <c r="B92" s="114" t="s">
        <v>149</v>
      </c>
      <c r="C92" s="107" t="s">
        <v>336</v>
      </c>
      <c r="D92">
        <v>47</v>
      </c>
      <c r="E92">
        <v>596</v>
      </c>
      <c r="F92">
        <v>4200</v>
      </c>
      <c r="G92">
        <v>83</v>
      </c>
      <c r="H92">
        <v>3599.9149121207138</v>
      </c>
      <c r="I92">
        <v>-196.08311443472468</v>
      </c>
      <c r="J92">
        <v>213.60657425374333</v>
      </c>
      <c r="K92">
        <v>-558.06401773028961</v>
      </c>
      <c r="L92">
        <v>577.62808757144239</v>
      </c>
      <c r="M92">
        <v>-206.18354278563569</v>
      </c>
      <c r="N92">
        <v>40.654904802994494</v>
      </c>
      <c r="O92">
        <v>47.84434058622022</v>
      </c>
      <c r="P92">
        <v>-11.813178691423539</v>
      </c>
      <c r="Q92">
        <v>81.590615262165457</v>
      </c>
      <c r="R92">
        <v>-94.636988288154967</v>
      </c>
      <c r="S92">
        <v>36.240719523823358</v>
      </c>
      <c r="T92">
        <v>12.604245069800328</v>
      </c>
      <c r="U92">
        <v>367.92160993418071</v>
      </c>
      <c r="V92">
        <v>-894.58742141261553</v>
      </c>
      <c r="W92">
        <v>1199.0835416263685</v>
      </c>
      <c r="X92">
        <v>-822.35981657291745</v>
      </c>
      <c r="Y92">
        <v>223.07855978368028</v>
      </c>
      <c r="Z92">
        <v>0.24890794942774619</v>
      </c>
      <c r="AA92">
        <v>681.36865525197345</v>
      </c>
      <c r="AB92">
        <v>-2143.206430789638</v>
      </c>
      <c r="AC92">
        <v>3267.4663073481252</v>
      </c>
      <c r="AD92">
        <v>-2383.8432219320102</v>
      </c>
      <c r="AE92">
        <v>663.43824191188025</v>
      </c>
      <c r="AF92">
        <v>5.62</v>
      </c>
      <c r="AG92">
        <v>3600</v>
      </c>
    </row>
    <row r="93" spans="1:33" x14ac:dyDescent="0.3">
      <c r="A93" t="s">
        <v>59</v>
      </c>
      <c r="B93" s="114" t="s">
        <v>149</v>
      </c>
      <c r="C93" s="107" t="s">
        <v>337</v>
      </c>
      <c r="D93">
        <v>50</v>
      </c>
      <c r="E93">
        <v>644</v>
      </c>
      <c r="F93">
        <v>4392</v>
      </c>
      <c r="G93">
        <v>84</v>
      </c>
      <c r="H93">
        <v>3600.028470772404</v>
      </c>
      <c r="I93">
        <v>-169.55138976600085</v>
      </c>
      <c r="J93">
        <v>68.15956239555598</v>
      </c>
      <c r="K93">
        <v>-211.35851138367795</v>
      </c>
      <c r="L93">
        <v>210.01345758469401</v>
      </c>
      <c r="M93">
        <v>-77.392081712138918</v>
      </c>
      <c r="N93">
        <v>35.692106032174522</v>
      </c>
      <c r="O93">
        <v>30.998300235164056</v>
      </c>
      <c r="P93">
        <v>14.235102396023249</v>
      </c>
      <c r="Q93">
        <v>79.91404761888549</v>
      </c>
      <c r="R93">
        <v>-103.31120885355517</v>
      </c>
      <c r="S93">
        <v>42.730037616359787</v>
      </c>
      <c r="T93">
        <v>10.551188754251079</v>
      </c>
      <c r="U93">
        <v>246.27185482802423</v>
      </c>
      <c r="V93">
        <v>-448.1624197139987</v>
      </c>
      <c r="W93">
        <v>589.84563811802286</v>
      </c>
      <c r="X93">
        <v>-447.43752607027403</v>
      </c>
      <c r="Y93">
        <v>136.76224116570518</v>
      </c>
      <c r="Z93">
        <v>7.2711732045206645E-2</v>
      </c>
      <c r="AA93">
        <v>561.7650099662327</v>
      </c>
      <c r="AB93">
        <v>-1497.8569920665252</v>
      </c>
      <c r="AC93">
        <v>2025.9335591834799</v>
      </c>
      <c r="AD93">
        <v>-1365.4366509911736</v>
      </c>
      <c r="AE93">
        <v>361.17806502415579</v>
      </c>
      <c r="AF93">
        <v>5.62</v>
      </c>
      <c r="AG93">
        <v>3600</v>
      </c>
    </row>
    <row r="94" spans="1:33" x14ac:dyDescent="0.3">
      <c r="A94" t="s">
        <v>59</v>
      </c>
      <c r="B94" s="114" t="s">
        <v>149</v>
      </c>
      <c r="C94" s="107" t="s">
        <v>338</v>
      </c>
      <c r="D94">
        <v>53</v>
      </c>
      <c r="E94">
        <v>708</v>
      </c>
      <c r="F94">
        <v>4800</v>
      </c>
      <c r="G94">
        <v>86</v>
      </c>
      <c r="H94">
        <v>3599.9668729758409</v>
      </c>
      <c r="I94">
        <v>-132.26402538418688</v>
      </c>
      <c r="J94">
        <v>-269.59059121014695</v>
      </c>
      <c r="K94">
        <v>716.44255888464363</v>
      </c>
      <c r="L94">
        <v>-756.71941741349497</v>
      </c>
      <c r="M94">
        <v>266.3493533283596</v>
      </c>
      <c r="N94">
        <v>39.538820496405556</v>
      </c>
      <c r="O94">
        <v>16.57513031928799</v>
      </c>
      <c r="P94">
        <v>57.381188404737692</v>
      </c>
      <c r="Q94">
        <v>-18.287472084772368</v>
      </c>
      <c r="R94">
        <v>-3.8451524933894277</v>
      </c>
      <c r="S94">
        <v>8.6077430520734293</v>
      </c>
      <c r="T94">
        <v>10.210132271669831</v>
      </c>
      <c r="U94">
        <v>169.42852754419292</v>
      </c>
      <c r="V94">
        <v>-120.6976796540313</v>
      </c>
      <c r="W94">
        <v>10.396989821005862</v>
      </c>
      <c r="X94">
        <v>27.771331938338424</v>
      </c>
      <c r="Y94">
        <v>-10.685886433918361</v>
      </c>
      <c r="Z94">
        <v>1.6210016270960637E-2</v>
      </c>
      <c r="AA94">
        <v>526.77029849712244</v>
      </c>
      <c r="AB94">
        <v>-1297.2727199612368</v>
      </c>
      <c r="AC94">
        <v>1610.1036676508782</v>
      </c>
      <c r="AD94">
        <v>-999.63089267661769</v>
      </c>
      <c r="AE94">
        <v>245.64535939063936</v>
      </c>
      <c r="AF94">
        <v>5.62</v>
      </c>
      <c r="AG94">
        <v>3600</v>
      </c>
    </row>
    <row r="95" spans="1:33" x14ac:dyDescent="0.3">
      <c r="A95" t="s">
        <v>59</v>
      </c>
      <c r="B95" s="114" t="s">
        <v>149</v>
      </c>
      <c r="C95" s="107" t="s">
        <v>339</v>
      </c>
      <c r="D95">
        <v>70.3</v>
      </c>
      <c r="E95">
        <v>891</v>
      </c>
      <c r="F95">
        <v>4800</v>
      </c>
      <c r="G95">
        <v>107.5</v>
      </c>
      <c r="H95">
        <v>3600.1482937911019</v>
      </c>
      <c r="I95">
        <v>-167.2345184655131</v>
      </c>
      <c r="J95">
        <v>52.958540551138007</v>
      </c>
      <c r="K95">
        <v>-60.221955474147869</v>
      </c>
      <c r="L95">
        <v>-5.0144751360522832</v>
      </c>
      <c r="M95">
        <v>5.896952674695104</v>
      </c>
      <c r="N95">
        <v>38.064655070326808</v>
      </c>
      <c r="O95">
        <v>29.059977513584208</v>
      </c>
      <c r="P95">
        <v>56.309273573202923</v>
      </c>
      <c r="Q95">
        <v>-59.771947294997659</v>
      </c>
      <c r="R95">
        <v>38.156455634357876</v>
      </c>
      <c r="S95">
        <v>-1.4936941047137262</v>
      </c>
      <c r="T95">
        <v>17.567566523595438</v>
      </c>
      <c r="U95">
        <v>263.62752627684245</v>
      </c>
      <c r="V95">
        <v>-570.03048366268968</v>
      </c>
      <c r="W95">
        <v>753.09666026393222</v>
      </c>
      <c r="X95">
        <v>-517.80896093179695</v>
      </c>
      <c r="Y95">
        <v>140.60939382821888</v>
      </c>
      <c r="Z95">
        <v>0.39764939819986012</v>
      </c>
      <c r="AA95">
        <v>678.81264825732592</v>
      </c>
      <c r="AB95">
        <v>-2136.1461266052202</v>
      </c>
      <c r="AC95">
        <v>3278.3132775188128</v>
      </c>
      <c r="AD95">
        <v>-2422.21387953975</v>
      </c>
      <c r="AE95">
        <v>685.92923882400089</v>
      </c>
      <c r="AF95">
        <v>5.62</v>
      </c>
      <c r="AG95">
        <v>3600</v>
      </c>
    </row>
    <row r="96" spans="1:33" x14ac:dyDescent="0.3">
      <c r="A96" t="s">
        <v>59</v>
      </c>
      <c r="B96" s="114" t="s">
        <v>340</v>
      </c>
      <c r="C96" s="107" t="s">
        <v>341</v>
      </c>
      <c r="D96">
        <v>11.8</v>
      </c>
      <c r="E96">
        <v>161</v>
      </c>
      <c r="F96">
        <v>2160</v>
      </c>
      <c r="G96">
        <v>40</v>
      </c>
      <c r="H96">
        <v>3600.0010475454328</v>
      </c>
      <c r="I96">
        <v>-112.02334614932917</v>
      </c>
      <c r="J96">
        <v>-36.638448692708636</v>
      </c>
      <c r="K96">
        <v>99.980498118792553</v>
      </c>
      <c r="L96">
        <v>-107.85037171128592</v>
      </c>
      <c r="M96">
        <v>37.808309243392515</v>
      </c>
      <c r="N96">
        <v>31.767715670839848</v>
      </c>
      <c r="O96">
        <v>32.239067824656239</v>
      </c>
      <c r="P96">
        <v>-20.910632484432167</v>
      </c>
      <c r="Q96">
        <v>181.58857478567043</v>
      </c>
      <c r="R96">
        <v>-207.27063637224217</v>
      </c>
      <c r="S96">
        <v>82.548940338944732</v>
      </c>
      <c r="T96">
        <v>14.902886355657559</v>
      </c>
      <c r="U96">
        <v>248.13143527487779</v>
      </c>
      <c r="V96">
        <v>-358.54839389227084</v>
      </c>
      <c r="W96">
        <v>249.92040155511972</v>
      </c>
      <c r="X96">
        <v>-74.856803420937112</v>
      </c>
      <c r="Y96">
        <v>5.3929193115552696</v>
      </c>
      <c r="Z96">
        <v>3.2401913233570667E-4</v>
      </c>
      <c r="AA96">
        <v>576.46897580642974</v>
      </c>
      <c r="AB96">
        <v>-1504.8041846722363</v>
      </c>
      <c r="AC96">
        <v>1952.5250523033887</v>
      </c>
      <c r="AD96">
        <v>-1246.4831050181824</v>
      </c>
      <c r="AE96">
        <v>311.00612730240715</v>
      </c>
      <c r="AF96">
        <v>7.44</v>
      </c>
      <c r="AG96">
        <v>3600</v>
      </c>
    </row>
    <row r="97" spans="1:33" x14ac:dyDescent="0.3">
      <c r="A97" t="s">
        <v>59</v>
      </c>
      <c r="B97" s="114" t="s">
        <v>340</v>
      </c>
      <c r="C97" s="107" t="s">
        <v>342</v>
      </c>
      <c r="D97">
        <v>13.5</v>
      </c>
      <c r="E97">
        <v>201</v>
      </c>
      <c r="F97">
        <v>2640</v>
      </c>
      <c r="G97">
        <v>41</v>
      </c>
      <c r="H97">
        <v>3599.9687888975182</v>
      </c>
      <c r="I97">
        <v>-94.336042916266479</v>
      </c>
      <c r="J97">
        <v>-56.394437996885337</v>
      </c>
      <c r="K97">
        <v>105.35102921871676</v>
      </c>
      <c r="L97">
        <v>-123.13363938580301</v>
      </c>
      <c r="M97">
        <v>46.338200075091805</v>
      </c>
      <c r="N97">
        <v>31.046967842267652</v>
      </c>
      <c r="O97">
        <v>32.752838518450858</v>
      </c>
      <c r="P97">
        <v>45.387840540765836</v>
      </c>
      <c r="Q97">
        <v>-12.618849105906921</v>
      </c>
      <c r="R97">
        <v>1.6315427780071168</v>
      </c>
      <c r="S97">
        <v>1.6559295680076718</v>
      </c>
      <c r="T97">
        <v>11.116240900788924</v>
      </c>
      <c r="U97">
        <v>312.68313811253643</v>
      </c>
      <c r="V97">
        <v>-664.92693703750388</v>
      </c>
      <c r="W97">
        <v>840.00396307917561</v>
      </c>
      <c r="X97">
        <v>-569.07079464338278</v>
      </c>
      <c r="Y97">
        <v>155.15799119247905</v>
      </c>
      <c r="Z97">
        <v>5.8303152612040776E-2</v>
      </c>
      <c r="AA97">
        <v>692.98122365145491</v>
      </c>
      <c r="AB97">
        <v>-2171.7613406046999</v>
      </c>
      <c r="AC97">
        <v>3298.7747159957717</v>
      </c>
      <c r="AD97">
        <v>-2399.6331936283245</v>
      </c>
      <c r="AE97">
        <v>667.85502697495531</v>
      </c>
      <c r="AF97">
        <v>7.44</v>
      </c>
      <c r="AG97">
        <v>3600</v>
      </c>
    </row>
    <row r="98" spans="1:33" x14ac:dyDescent="0.3">
      <c r="A98" t="s">
        <v>59</v>
      </c>
      <c r="B98" s="114" t="s">
        <v>340</v>
      </c>
      <c r="C98" s="107" t="s">
        <v>343</v>
      </c>
      <c r="D98">
        <v>16.399999999999999</v>
      </c>
      <c r="E98">
        <v>322</v>
      </c>
      <c r="F98">
        <v>3480</v>
      </c>
      <c r="G98">
        <v>49.5</v>
      </c>
      <c r="H98">
        <v>3600.0177985669566</v>
      </c>
      <c r="I98">
        <v>-126.44735877992599</v>
      </c>
      <c r="J98">
        <v>48.430778813479272</v>
      </c>
      <c r="K98">
        <v>-156.04894578529255</v>
      </c>
      <c r="L98">
        <v>146.12978070125902</v>
      </c>
      <c r="M98">
        <v>-48.958256670315329</v>
      </c>
      <c r="N98">
        <v>26.676518662804412</v>
      </c>
      <c r="O98">
        <v>58.680094513870465</v>
      </c>
      <c r="P98">
        <v>-6.4864440746835408</v>
      </c>
      <c r="Q98">
        <v>49.446871589432874</v>
      </c>
      <c r="R98">
        <v>-45.864784653138784</v>
      </c>
      <c r="S98">
        <v>17.489820233007372</v>
      </c>
      <c r="T98">
        <v>11.884354508503179</v>
      </c>
      <c r="U98">
        <v>278.51878200693159</v>
      </c>
      <c r="V98">
        <v>-480.78857306222727</v>
      </c>
      <c r="W98">
        <v>467.84199049372887</v>
      </c>
      <c r="X98">
        <v>-247.72198511891406</v>
      </c>
      <c r="Y98">
        <v>55.792215730519118</v>
      </c>
      <c r="Z98">
        <v>0.11862619097314564</v>
      </c>
      <c r="AA98">
        <v>697.3882258503445</v>
      </c>
      <c r="AB98">
        <v>-2175.622300949819</v>
      </c>
      <c r="AC98">
        <v>3283.7017445412139</v>
      </c>
      <c r="AD98">
        <v>-2372.0993567408086</v>
      </c>
      <c r="AE98">
        <v>654.53525444094817</v>
      </c>
      <c r="AF98">
        <v>7.44</v>
      </c>
      <c r="AG98">
        <v>3600</v>
      </c>
    </row>
    <row r="99" spans="1:33" x14ac:dyDescent="0.3">
      <c r="A99" t="s">
        <v>59</v>
      </c>
      <c r="B99" s="114" t="s">
        <v>340</v>
      </c>
      <c r="C99" s="107" t="s">
        <v>344</v>
      </c>
      <c r="D99">
        <v>20.7</v>
      </c>
      <c r="E99">
        <v>402</v>
      </c>
      <c r="F99">
        <v>3360</v>
      </c>
      <c r="G99">
        <v>64.5</v>
      </c>
      <c r="H99">
        <v>3599.993529094098</v>
      </c>
      <c r="I99">
        <v>-134.15320226188436</v>
      </c>
      <c r="J99">
        <v>65.00397142245383</v>
      </c>
      <c r="K99">
        <v>-111.87089791596834</v>
      </c>
      <c r="L99">
        <v>82.536297245432849</v>
      </c>
      <c r="M99">
        <v>-23.94594697866809</v>
      </c>
      <c r="N99">
        <v>31.807671538158957</v>
      </c>
      <c r="O99">
        <v>45.253004099885459</v>
      </c>
      <c r="P99">
        <v>-9.1091262625372735</v>
      </c>
      <c r="Q99">
        <v>76.118418680628238</v>
      </c>
      <c r="R99">
        <v>-69.494894630110409</v>
      </c>
      <c r="S99">
        <v>25.410359210601275</v>
      </c>
      <c r="T99">
        <v>9.3494124730688384</v>
      </c>
      <c r="U99">
        <v>283.84974256662917</v>
      </c>
      <c r="V99">
        <v>-402.61357506383604</v>
      </c>
      <c r="W99">
        <v>184.48252024645311</v>
      </c>
      <c r="X99">
        <v>69.674796845960472</v>
      </c>
      <c r="Y99">
        <v>-60.306287151269807</v>
      </c>
      <c r="Z99">
        <v>7.9366877706036121E-2</v>
      </c>
      <c r="AA99">
        <v>637.68265819980581</v>
      </c>
      <c r="AB99">
        <v>-1874.5837453615973</v>
      </c>
      <c r="AC99">
        <v>2741.8378622236878</v>
      </c>
      <c r="AD99">
        <v>-1958.7709795412877</v>
      </c>
      <c r="AE99">
        <v>542.09893165430481</v>
      </c>
      <c r="AF99">
        <v>7.44</v>
      </c>
      <c r="AG99">
        <v>3600</v>
      </c>
    </row>
    <row r="100" spans="1:33" x14ac:dyDescent="0.3">
      <c r="A100" t="s">
        <v>59</v>
      </c>
      <c r="B100" s="114" t="s">
        <v>340</v>
      </c>
      <c r="C100" s="107" t="s">
        <v>345</v>
      </c>
      <c r="D100">
        <v>27.2</v>
      </c>
      <c r="E100">
        <v>643</v>
      </c>
      <c r="F100">
        <v>3720</v>
      </c>
      <c r="G100">
        <v>94</v>
      </c>
      <c r="H100">
        <v>3599.9609094732391</v>
      </c>
      <c r="I100">
        <v>-120.64399277881876</v>
      </c>
      <c r="J100">
        <v>50.89794440926277</v>
      </c>
      <c r="K100">
        <v>-199.64190349108483</v>
      </c>
      <c r="L100">
        <v>224.37949838698276</v>
      </c>
      <c r="M100">
        <v>-91.624045052858506</v>
      </c>
      <c r="N100">
        <v>29.855218786074079</v>
      </c>
      <c r="O100">
        <v>38.222556667036265</v>
      </c>
      <c r="P100">
        <v>-17.236681686355631</v>
      </c>
      <c r="Q100">
        <v>132.86994116624834</v>
      </c>
      <c r="R100">
        <v>-136.25528639928706</v>
      </c>
      <c r="S100">
        <v>52.432680029000096</v>
      </c>
      <c r="T100">
        <v>12.498354917068655</v>
      </c>
      <c r="U100">
        <v>273.85875153748475</v>
      </c>
      <c r="V100">
        <v>-422.30278480085855</v>
      </c>
      <c r="W100">
        <v>281.83665768610302</v>
      </c>
      <c r="X100">
        <v>-42.973601662335952</v>
      </c>
      <c r="Y100">
        <v>-18.669675257289327</v>
      </c>
      <c r="Z100">
        <v>5.9632688580734339E-2</v>
      </c>
      <c r="AA100">
        <v>626.44623913504506</v>
      </c>
      <c r="AB100">
        <v>-1795.5031901327095</v>
      </c>
      <c r="AC100">
        <v>2551.6616578851254</v>
      </c>
      <c r="AD100">
        <v>-1771.8037379700975</v>
      </c>
      <c r="AE100">
        <v>476.77920048672809</v>
      </c>
      <c r="AF100">
        <v>7.44</v>
      </c>
      <c r="AG100">
        <v>3600</v>
      </c>
    </row>
    <row r="101" spans="1:33" x14ac:dyDescent="0.3">
      <c r="A101" t="s">
        <v>59</v>
      </c>
      <c r="B101" s="114" t="s">
        <v>340</v>
      </c>
      <c r="C101" s="107" t="s">
        <v>346</v>
      </c>
      <c r="D101">
        <v>36</v>
      </c>
      <c r="E101">
        <v>804</v>
      </c>
      <c r="F101">
        <v>4200</v>
      </c>
      <c r="G101">
        <v>102</v>
      </c>
      <c r="H101">
        <v>3599.9609094732391</v>
      </c>
      <c r="I101">
        <v>-120.64399277881876</v>
      </c>
      <c r="J101">
        <v>50.89794440926277</v>
      </c>
      <c r="K101">
        <v>-199.64190349108483</v>
      </c>
      <c r="L101">
        <v>224.37949838698276</v>
      </c>
      <c r="M101">
        <v>-91.624045052858506</v>
      </c>
      <c r="N101">
        <v>29.855218786074079</v>
      </c>
      <c r="O101">
        <v>38.222556667036265</v>
      </c>
      <c r="P101">
        <v>-17.236681686355631</v>
      </c>
      <c r="Q101">
        <v>132.86994116624834</v>
      </c>
      <c r="R101">
        <v>-136.25528639928706</v>
      </c>
      <c r="S101">
        <v>52.432680029000096</v>
      </c>
      <c r="T101">
        <v>12.498354917068655</v>
      </c>
      <c r="U101">
        <v>273.85875153748475</v>
      </c>
      <c r="V101">
        <v>-422.30278480085855</v>
      </c>
      <c r="W101">
        <v>281.83665768610302</v>
      </c>
      <c r="X101">
        <v>-42.973601662335952</v>
      </c>
      <c r="Y101">
        <v>-18.669675257289327</v>
      </c>
      <c r="Z101">
        <v>5.9632688580734339E-2</v>
      </c>
      <c r="AA101">
        <v>626.44623913504506</v>
      </c>
      <c r="AB101">
        <v>-1795.5031901327095</v>
      </c>
      <c r="AC101">
        <v>2551.6616578851254</v>
      </c>
      <c r="AD101">
        <v>-1771.8037379700975</v>
      </c>
      <c r="AE101">
        <v>476.77920048672809</v>
      </c>
      <c r="AF101">
        <v>7.44</v>
      </c>
      <c r="AG101">
        <v>3600</v>
      </c>
    </row>
    <row r="102" spans="1:33" x14ac:dyDescent="0.3">
      <c r="A102" t="s">
        <v>59</v>
      </c>
      <c r="B102" s="114" t="s">
        <v>340</v>
      </c>
      <c r="C102" s="107" t="s">
        <v>347</v>
      </c>
      <c r="D102">
        <v>45.2</v>
      </c>
      <c r="E102">
        <v>1046</v>
      </c>
      <c r="F102">
        <v>4800</v>
      </c>
      <c r="G102">
        <v>117</v>
      </c>
      <c r="H102">
        <v>3599.9891659628274</v>
      </c>
      <c r="I102">
        <v>-161.09449570183466</v>
      </c>
      <c r="J102">
        <v>22.096801131037605</v>
      </c>
      <c r="K102">
        <v>71.331817846780069</v>
      </c>
      <c r="L102">
        <v>-133.03674836634602</v>
      </c>
      <c r="M102">
        <v>60.347255129900454</v>
      </c>
      <c r="N102">
        <v>29.009228858120377</v>
      </c>
      <c r="O102">
        <v>17.148870294213516</v>
      </c>
      <c r="P102">
        <v>100.21813997405789</v>
      </c>
      <c r="Q102">
        <v>-106.09771706704545</v>
      </c>
      <c r="R102">
        <v>76.674503680960242</v>
      </c>
      <c r="S102">
        <v>-16.936405990336901</v>
      </c>
      <c r="T102">
        <v>2.0398165784112194</v>
      </c>
      <c r="U102">
        <v>421.86585053752913</v>
      </c>
      <c r="V102">
        <v>-1022.2726380650569</v>
      </c>
      <c r="W102">
        <v>1362.8026114207653</v>
      </c>
      <c r="X102">
        <v>-933.81430038036262</v>
      </c>
      <c r="Y102">
        <v>254.3210634423902</v>
      </c>
      <c r="Z102">
        <v>0.15626853750688952</v>
      </c>
      <c r="AA102">
        <v>668.44426540943732</v>
      </c>
      <c r="AB102">
        <v>-2100.0573854987861</v>
      </c>
      <c r="AC102">
        <v>3257.8942503869644</v>
      </c>
      <c r="AD102">
        <v>-2424.0453519112307</v>
      </c>
      <c r="AE102">
        <v>685.46863533609167</v>
      </c>
      <c r="AF102">
        <v>7.44</v>
      </c>
      <c r="AG102">
        <v>3600</v>
      </c>
    </row>
    <row r="103" spans="1:33" x14ac:dyDescent="0.3">
      <c r="A103" t="s">
        <v>59</v>
      </c>
      <c r="B103" s="114" t="s">
        <v>213</v>
      </c>
      <c r="C103" s="107" t="s">
        <v>348</v>
      </c>
      <c r="D103">
        <v>9.5</v>
      </c>
      <c r="E103">
        <v>64</v>
      </c>
      <c r="F103">
        <v>1840</v>
      </c>
      <c r="G103">
        <v>16.899999999999999</v>
      </c>
      <c r="H103">
        <v>3600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1.7661886474822743</v>
      </c>
      <c r="O103">
        <v>98.207843846845662</v>
      </c>
      <c r="P103">
        <v>2.5967505670697697E-2</v>
      </c>
      <c r="Q103">
        <v>3.253347146414168E-12</v>
      </c>
      <c r="R103">
        <v>-2.7972447492118098E-12</v>
      </c>
      <c r="S103">
        <v>8.9753254052779423E-13</v>
      </c>
      <c r="T103">
        <v>96.08745424064081</v>
      </c>
      <c r="U103">
        <v>19.781552020670549</v>
      </c>
      <c r="V103">
        <v>-21.200998426294412</v>
      </c>
      <c r="W103">
        <v>-3.5805421457501501</v>
      </c>
      <c r="X103">
        <v>5.9697484465924848</v>
      </c>
      <c r="Y103">
        <v>-1.0138166294327633</v>
      </c>
      <c r="Z103">
        <v>82.380953311272378</v>
      </c>
      <c r="AA103">
        <v>60.772009349055139</v>
      </c>
      <c r="AB103">
        <v>-128.19264526855301</v>
      </c>
      <c r="AC103">
        <v>118.59424727200755</v>
      </c>
      <c r="AD103">
        <v>-47.207915791869247</v>
      </c>
      <c r="AE103">
        <v>5.3686869535392301</v>
      </c>
      <c r="AF103">
        <v>4.5999999999999996</v>
      </c>
      <c r="AG103">
        <v>3600</v>
      </c>
    </row>
    <row r="104" spans="1:33" x14ac:dyDescent="0.3">
      <c r="A104" t="s">
        <v>59</v>
      </c>
      <c r="B104" s="114" t="s">
        <v>213</v>
      </c>
      <c r="C104" s="107" t="s">
        <v>349</v>
      </c>
      <c r="D104">
        <v>8.1</v>
      </c>
      <c r="E104">
        <v>51</v>
      </c>
      <c r="F104">
        <v>1480</v>
      </c>
      <c r="G104">
        <v>16.899999999999999</v>
      </c>
      <c r="H104">
        <v>3600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1.7661886474822743</v>
      </c>
      <c r="O104">
        <v>98.207843846845662</v>
      </c>
      <c r="P104">
        <v>2.5967505670697697E-2</v>
      </c>
      <c r="Q104">
        <v>3.253347146414168E-12</v>
      </c>
      <c r="R104">
        <v>-2.7972447492118098E-12</v>
      </c>
      <c r="S104">
        <v>8.9753254052779423E-13</v>
      </c>
      <c r="T104">
        <v>95.322280341794283</v>
      </c>
      <c r="U104">
        <v>19.624025448606972</v>
      </c>
      <c r="V104">
        <v>-21.03216836670623</v>
      </c>
      <c r="W104">
        <v>-3.552029189344394</v>
      </c>
      <c r="X104">
        <v>5.9222095068807317</v>
      </c>
      <c r="Y104">
        <v>-1.0057432963504951</v>
      </c>
      <c r="Z104">
        <v>82.739911713500234</v>
      </c>
      <c r="AA104">
        <v>61.036811132710376</v>
      </c>
      <c r="AB104">
        <v>-128.751218886278</v>
      </c>
      <c r="AC104">
        <v>119.11099780477821</v>
      </c>
      <c r="AD104">
        <v>-47.413614771350581</v>
      </c>
      <c r="AE104">
        <v>5.3920799250131992</v>
      </c>
      <c r="AF104">
        <v>4.5999999999999996</v>
      </c>
      <c r="AG104">
        <v>3600</v>
      </c>
    </row>
    <row r="105" spans="1:33" x14ac:dyDescent="0.3">
      <c r="A105" t="s">
        <v>59</v>
      </c>
      <c r="B105" s="114" t="s">
        <v>213</v>
      </c>
      <c r="C105" s="107" t="s">
        <v>350</v>
      </c>
      <c r="D105">
        <v>6.8</v>
      </c>
      <c r="E105">
        <v>35</v>
      </c>
      <c r="F105">
        <v>1100</v>
      </c>
      <c r="G105">
        <v>15.6</v>
      </c>
      <c r="H105">
        <v>3600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1.7661886474822743</v>
      </c>
      <c r="O105">
        <v>98.207843846845662</v>
      </c>
      <c r="P105">
        <v>2.5967505670697697E-2</v>
      </c>
      <c r="Q105">
        <v>3.253347146414168E-12</v>
      </c>
      <c r="R105">
        <v>-2.7972447492118098E-12</v>
      </c>
      <c r="S105">
        <v>8.9753254052779423E-13</v>
      </c>
      <c r="T105">
        <v>95.231722313663766</v>
      </c>
      <c r="U105">
        <v>19.605382241139971</v>
      </c>
      <c r="V105">
        <v>-21.012187395962634</v>
      </c>
      <c r="W105">
        <v>-3.5486546922397517</v>
      </c>
      <c r="X105">
        <v>5.9165832921804151</v>
      </c>
      <c r="Y105">
        <v>-1.0047878205757204</v>
      </c>
      <c r="Z105">
        <v>83.098870115728047</v>
      </c>
      <c r="AA105">
        <v>61.301612916365826</v>
      </c>
      <c r="AB105">
        <v>-129.30979250400389</v>
      </c>
      <c r="AC105">
        <v>119.62774833755071</v>
      </c>
      <c r="AD105">
        <v>-47.619313750833612</v>
      </c>
      <c r="AE105">
        <v>5.4154728964877039</v>
      </c>
      <c r="AF105">
        <v>4.5999999999999996</v>
      </c>
      <c r="AG105">
        <v>3600</v>
      </c>
    </row>
    <row r="106" spans="1:33" x14ac:dyDescent="0.3">
      <c r="A106" t="s">
        <v>59</v>
      </c>
      <c r="B106" s="114" t="s">
        <v>149</v>
      </c>
      <c r="C106" s="107" t="s">
        <v>351</v>
      </c>
      <c r="D106">
        <v>50</v>
      </c>
      <c r="E106">
        <v>640</v>
      </c>
      <c r="F106">
        <v>4000</v>
      </c>
      <c r="G106">
        <v>91.2</v>
      </c>
      <c r="H106">
        <v>3599.8844162945365</v>
      </c>
      <c r="I106">
        <v>-167.88134356664165</v>
      </c>
      <c r="J106">
        <v>-99.9388766098009</v>
      </c>
      <c r="K106">
        <v>157.44143929689054</v>
      </c>
      <c r="L106">
        <v>-168.25188931793002</v>
      </c>
      <c r="M106">
        <v>59.73615607757835</v>
      </c>
      <c r="N106">
        <v>25.252642341775147</v>
      </c>
      <c r="O106">
        <v>11.087272573669766</v>
      </c>
      <c r="P106">
        <v>111.6614254497853</v>
      </c>
      <c r="Q106">
        <v>-51.337876997025951</v>
      </c>
      <c r="R106">
        <v>-9.7647458609987989</v>
      </c>
      <c r="S106">
        <v>13.016722737072364</v>
      </c>
      <c r="T106">
        <v>12.963317145587084</v>
      </c>
      <c r="U106">
        <v>346.49929031367407</v>
      </c>
      <c r="V106">
        <v>-660.49107785459603</v>
      </c>
      <c r="W106">
        <v>632.61337220728092</v>
      </c>
      <c r="X106">
        <v>-293.00047225934196</v>
      </c>
      <c r="Y106">
        <v>51.339098176547232</v>
      </c>
      <c r="Z106">
        <v>0.75529727104373023</v>
      </c>
      <c r="AA106">
        <v>859.54593368189694</v>
      </c>
      <c r="AB106">
        <v>-3143.867886094602</v>
      </c>
      <c r="AC106">
        <v>5309.6483185783663</v>
      </c>
      <c r="AD106">
        <v>-4175.3395446813656</v>
      </c>
      <c r="AE106">
        <v>1232.3439082164889</v>
      </c>
      <c r="AF106">
        <v>5.62</v>
      </c>
      <c r="AG106">
        <v>3600</v>
      </c>
    </row>
    <row r="107" spans="1:33" x14ac:dyDescent="0.3">
      <c r="A107" t="s">
        <v>59</v>
      </c>
      <c r="B107" s="114" t="s">
        <v>149</v>
      </c>
      <c r="C107" s="107" t="s">
        <v>352</v>
      </c>
      <c r="D107">
        <v>53</v>
      </c>
      <c r="E107">
        <v>710</v>
      </c>
      <c r="F107">
        <v>4000</v>
      </c>
      <c r="G107">
        <v>102.3</v>
      </c>
      <c r="H107">
        <v>3600.1385997980815</v>
      </c>
      <c r="I107">
        <v>-171.60655689149755</v>
      </c>
      <c r="J107">
        <v>-28.705486387014123</v>
      </c>
      <c r="K107">
        <v>10.781916556122628</v>
      </c>
      <c r="L107">
        <v>-37.461562074476483</v>
      </c>
      <c r="M107">
        <v>14.422855251036591</v>
      </c>
      <c r="N107">
        <v>24.695834765943665</v>
      </c>
      <c r="O107">
        <v>36.78625486037059</v>
      </c>
      <c r="P107">
        <v>68.011003556246763</v>
      </c>
      <c r="Q107">
        <v>-53.178086978499465</v>
      </c>
      <c r="R107">
        <v>30.134831574615141</v>
      </c>
      <c r="S107">
        <v>-6.2999731135786865</v>
      </c>
      <c r="T107">
        <v>12.973748700086329</v>
      </c>
      <c r="U107">
        <v>275.68581646587012</v>
      </c>
      <c r="V107">
        <v>-438.96739447198422</v>
      </c>
      <c r="W107">
        <v>371.04683658655586</v>
      </c>
      <c r="X107">
        <v>-159.43256264536564</v>
      </c>
      <c r="Y107">
        <v>27.384351793619068</v>
      </c>
      <c r="Z107">
        <v>1.8181288844421033</v>
      </c>
      <c r="AA107">
        <v>803.78579949201344</v>
      </c>
      <c r="AB107">
        <v>-2615.4246951376085</v>
      </c>
      <c r="AC107">
        <v>3798.359779721733</v>
      </c>
      <c r="AD107">
        <v>-2517.527631447972</v>
      </c>
      <c r="AE107">
        <v>617.40872762909589</v>
      </c>
      <c r="AF107">
        <v>5.62</v>
      </c>
      <c r="AG107">
        <v>3600</v>
      </c>
    </row>
    <row r="108" spans="1:33" x14ac:dyDescent="0.3">
      <c r="A108" t="s">
        <v>59</v>
      </c>
      <c r="B108" s="114" t="s">
        <v>149</v>
      </c>
      <c r="C108" s="107" t="s">
        <v>353</v>
      </c>
      <c r="D108">
        <v>70.3</v>
      </c>
      <c r="E108">
        <v>891</v>
      </c>
      <c r="F108">
        <v>4150</v>
      </c>
      <c r="G108">
        <v>126</v>
      </c>
      <c r="H108">
        <v>3600.0778038765734</v>
      </c>
      <c r="I108">
        <v>-138.44807718063265</v>
      </c>
      <c r="J108">
        <v>-31.217071460637325</v>
      </c>
      <c r="K108">
        <v>-27.579588144897887</v>
      </c>
      <c r="L108">
        <v>21.14580379522539</v>
      </c>
      <c r="M108">
        <v>-4.0325269254215659</v>
      </c>
      <c r="N108">
        <v>40.556952495209913</v>
      </c>
      <c r="O108">
        <v>3.4386211214045748</v>
      </c>
      <c r="P108">
        <v>68.506469096400579</v>
      </c>
      <c r="Q108">
        <v>32.673292082219433</v>
      </c>
      <c r="R108">
        <v>-86.000377938795182</v>
      </c>
      <c r="S108">
        <v>40.647330836489346</v>
      </c>
      <c r="T108">
        <v>12.027540551643146</v>
      </c>
      <c r="U108">
        <v>235.27062230182781</v>
      </c>
      <c r="V108">
        <v>-370.5581218211189</v>
      </c>
      <c r="W108">
        <v>375.64832645514844</v>
      </c>
      <c r="X108">
        <v>-223.89346102285057</v>
      </c>
      <c r="Y108">
        <v>56.515911883312896</v>
      </c>
      <c r="Z108">
        <v>1.1368822101709384</v>
      </c>
      <c r="AA108">
        <v>717.44623687672197</v>
      </c>
      <c r="AB108">
        <v>-2461.0989001597168</v>
      </c>
      <c r="AC108">
        <v>4056.5442063190335</v>
      </c>
      <c r="AD108">
        <v>-3149.7159120223373</v>
      </c>
      <c r="AE108">
        <v>920.56420519937149</v>
      </c>
      <c r="AF108">
        <v>5.62</v>
      </c>
      <c r="AG108">
        <v>3600</v>
      </c>
    </row>
    <row r="109" spans="1:33" x14ac:dyDescent="0.3">
      <c r="A109" t="s">
        <v>59</v>
      </c>
      <c r="B109" s="114" t="s">
        <v>340</v>
      </c>
      <c r="C109" s="107" t="s">
        <v>354</v>
      </c>
      <c r="D109">
        <v>60</v>
      </c>
      <c r="E109">
        <v>1370</v>
      </c>
      <c r="F109">
        <v>4400</v>
      </c>
      <c r="G109">
        <v>178</v>
      </c>
      <c r="H109">
        <v>3600.0570788120167</v>
      </c>
      <c r="I109">
        <v>-122.93663398221865</v>
      </c>
      <c r="J109">
        <v>-16.84663109463332</v>
      </c>
      <c r="K109">
        <v>27.080461632929552</v>
      </c>
      <c r="L109">
        <v>-17.055986745615769</v>
      </c>
      <c r="M109">
        <v>3.6701153490457559</v>
      </c>
      <c r="N109">
        <v>30.935265161512099</v>
      </c>
      <c r="O109">
        <v>26.141865039964056</v>
      </c>
      <c r="P109">
        <v>38.80741542146334</v>
      </c>
      <c r="Q109">
        <v>44.996182668632621</v>
      </c>
      <c r="R109">
        <v>-58.450523614002449</v>
      </c>
      <c r="S109">
        <v>17.828281829600961</v>
      </c>
      <c r="T109">
        <v>20.154548360447741</v>
      </c>
      <c r="U109">
        <v>238.58034427345538</v>
      </c>
      <c r="V109">
        <v>-383.37362807920289</v>
      </c>
      <c r="W109">
        <v>330.31900442722241</v>
      </c>
      <c r="X109">
        <v>-147.94224370110817</v>
      </c>
      <c r="Y109">
        <v>27.081913003051909</v>
      </c>
      <c r="Z109">
        <v>1.0490332259155934</v>
      </c>
      <c r="AA109">
        <v>642.2261875263664</v>
      </c>
      <c r="AB109">
        <v>-1830.3987767850756</v>
      </c>
      <c r="AC109">
        <v>2457.540630624826</v>
      </c>
      <c r="AD109">
        <v>-1543.5340096324528</v>
      </c>
      <c r="AE109">
        <v>363.77746443818017</v>
      </c>
      <c r="AF109">
        <v>7.44</v>
      </c>
      <c r="AG109">
        <v>3600</v>
      </c>
    </row>
    <row r="110" spans="1:33" x14ac:dyDescent="0.3">
      <c r="A110" t="s">
        <v>59</v>
      </c>
      <c r="B110" s="114" t="s">
        <v>340</v>
      </c>
      <c r="C110" s="107" t="s">
        <v>355</v>
      </c>
      <c r="D110">
        <v>60</v>
      </c>
      <c r="E110">
        <v>1400</v>
      </c>
      <c r="F110">
        <v>4400</v>
      </c>
      <c r="G110">
        <v>175</v>
      </c>
      <c r="H110">
        <v>3600.1169622399193</v>
      </c>
      <c r="I110">
        <v>-124.65903430096455</v>
      </c>
      <c r="J110">
        <v>-14.243424842108581</v>
      </c>
      <c r="K110">
        <v>20.120536930106422</v>
      </c>
      <c r="L110">
        <v>-7.5590897237018391</v>
      </c>
      <c r="M110">
        <v>-0.1701153798993407</v>
      </c>
      <c r="N110">
        <v>30.914838428230336</v>
      </c>
      <c r="O110">
        <v>49.372217799420348</v>
      </c>
      <c r="P110">
        <v>-10.714715656572547</v>
      </c>
      <c r="Q110">
        <v>70.228213285724294</v>
      </c>
      <c r="R110">
        <v>-51.966696664747836</v>
      </c>
      <c r="S110">
        <v>12.166641499642738</v>
      </c>
      <c r="T110">
        <v>20.158608282698623</v>
      </c>
      <c r="U110">
        <v>208.75539912553012</v>
      </c>
      <c r="V110">
        <v>-297.16118962984558</v>
      </c>
      <c r="W110">
        <v>240.79488847921866</v>
      </c>
      <c r="X110">
        <v>-108.67897480031951</v>
      </c>
      <c r="Y110">
        <v>21.060843742223106</v>
      </c>
      <c r="Z110">
        <v>1.479083549558311</v>
      </c>
      <c r="AA110">
        <v>631.64301844686054</v>
      </c>
      <c r="AB110">
        <v>-1808.0900260478979</v>
      </c>
      <c r="AC110">
        <v>2437.4856639642308</v>
      </c>
      <c r="AD110">
        <v>-1530.8631274810039</v>
      </c>
      <c r="AE110">
        <v>359.31511396862521</v>
      </c>
      <c r="AF110">
        <v>7.44</v>
      </c>
      <c r="AG110">
        <v>3600</v>
      </c>
    </row>
    <row r="111" spans="1:33" x14ac:dyDescent="0.3">
      <c r="A111" t="s">
        <v>59</v>
      </c>
      <c r="B111" s="114" t="s">
        <v>340</v>
      </c>
      <c r="C111" s="107" t="s">
        <v>356</v>
      </c>
      <c r="D111">
        <v>60</v>
      </c>
      <c r="E111">
        <v>1530</v>
      </c>
      <c r="F111">
        <v>4740</v>
      </c>
      <c r="G111">
        <v>186</v>
      </c>
      <c r="H111">
        <v>3600.1075632389088</v>
      </c>
      <c r="I111">
        <v>-135.09944941016767</v>
      </c>
      <c r="J111">
        <v>-26.032098290971604</v>
      </c>
      <c r="K111">
        <v>52.365495268207781</v>
      </c>
      <c r="L111">
        <v>-40.613708669873162</v>
      </c>
      <c r="M111">
        <v>11.356761746451779</v>
      </c>
      <c r="N111">
        <v>29.018098370650073</v>
      </c>
      <c r="O111">
        <v>60.087264685840822</v>
      </c>
      <c r="P111">
        <v>-95.652084678626778</v>
      </c>
      <c r="Q111">
        <v>330.11257296050604</v>
      </c>
      <c r="R111">
        <v>-350.02484886136244</v>
      </c>
      <c r="S111">
        <v>127.42990103549378</v>
      </c>
      <c r="T111">
        <v>20.089348941067435</v>
      </c>
      <c r="U111">
        <v>234.3624695692651</v>
      </c>
      <c r="V111">
        <v>-407.85862210032315</v>
      </c>
      <c r="W111">
        <v>461.15586088091959</v>
      </c>
      <c r="X111">
        <v>-316.66025568459702</v>
      </c>
      <c r="Y111">
        <v>94.093400002835253</v>
      </c>
      <c r="Z111">
        <v>0.81530983428962145</v>
      </c>
      <c r="AA111">
        <v>750.89480806344659</v>
      </c>
      <c r="AB111">
        <v>-2665.7594335988788</v>
      </c>
      <c r="AC111">
        <v>4577.5471025260567</v>
      </c>
      <c r="AD111">
        <v>-3716.3381569504013</v>
      </c>
      <c r="AE111">
        <v>1140.3304940289211</v>
      </c>
      <c r="AF111">
        <v>7.44</v>
      </c>
      <c r="AG111">
        <v>3600</v>
      </c>
    </row>
    <row r="112" spans="1:33" x14ac:dyDescent="0.3">
      <c r="A112" t="s">
        <v>59</v>
      </c>
      <c r="B112" s="114" t="s">
        <v>55</v>
      </c>
      <c r="C112" s="107" t="s">
        <v>357</v>
      </c>
      <c r="D112">
        <v>44.9</v>
      </c>
      <c r="E112">
        <v>268</v>
      </c>
      <c r="F112">
        <v>3600</v>
      </c>
      <c r="G112">
        <v>39.5</v>
      </c>
      <c r="H112">
        <v>6000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4.812696638586111</v>
      </c>
      <c r="O112">
        <v>95.175106979946321</v>
      </c>
      <c r="P112">
        <v>1.2193261520812668E-2</v>
      </c>
      <c r="Q112">
        <v>3.1190390403013699E-6</v>
      </c>
      <c r="R112">
        <v>9.0412088743935624E-10</v>
      </c>
      <c r="S112">
        <v>3.5758949331587934E-12</v>
      </c>
      <c r="T112">
        <v>93.014915414112664</v>
      </c>
      <c r="U112">
        <v>-8.3110433737160658</v>
      </c>
      <c r="V112">
        <v>45.78557672638874</v>
      </c>
      <c r="W112">
        <v>-99.30354418640232</v>
      </c>
      <c r="X112">
        <v>87.683613811695992</v>
      </c>
      <c r="Y112">
        <v>-28.510240538277067</v>
      </c>
      <c r="Z112">
        <v>42.227765370647319</v>
      </c>
      <c r="AA112">
        <v>323.84333046444544</v>
      </c>
      <c r="AB112">
        <v>-930.22704301427871</v>
      </c>
      <c r="AC112">
        <v>1364.2464274308606</v>
      </c>
      <c r="AD112">
        <v>-985.8008503976971</v>
      </c>
      <c r="AE112">
        <v>277.11326413088614</v>
      </c>
      <c r="AF112">
        <v>3.19</v>
      </c>
      <c r="AG112">
        <v>6000</v>
      </c>
    </row>
    <row r="113" spans="1:33" x14ac:dyDescent="0.3">
      <c r="A113" t="s">
        <v>59</v>
      </c>
      <c r="B113" s="114" t="s">
        <v>55</v>
      </c>
      <c r="C113" s="107" t="s">
        <v>358</v>
      </c>
      <c r="D113">
        <v>6.9</v>
      </c>
      <c r="E113">
        <v>19</v>
      </c>
      <c r="F113">
        <v>530</v>
      </c>
      <c r="G113">
        <v>18.5</v>
      </c>
      <c r="H113">
        <v>6000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4.8126966385861465</v>
      </c>
      <c r="O113">
        <v>95.175106979945923</v>
      </c>
      <c r="P113">
        <v>1.2193261522652482E-2</v>
      </c>
      <c r="Q113">
        <v>3.1190350008243812E-6</v>
      </c>
      <c r="R113">
        <v>9.080175159913914E-10</v>
      </c>
      <c r="S113">
        <v>2.2413504126497699E-12</v>
      </c>
      <c r="T113">
        <v>98.824158230681618</v>
      </c>
      <c r="U113">
        <v>-8.8301092547332622</v>
      </c>
      <c r="V113">
        <v>48.645113086950616</v>
      </c>
      <c r="W113">
        <v>-105.50554306108133</v>
      </c>
      <c r="X113">
        <v>93.159890400244876</v>
      </c>
      <c r="Y113">
        <v>-30.290846469152086</v>
      </c>
      <c r="Z113">
        <v>39.968856524399854</v>
      </c>
      <c r="AA113">
        <v>306.5198335291351</v>
      </c>
      <c r="AB113">
        <v>-880.46598940332092</v>
      </c>
      <c r="AC113">
        <v>1291.2681796754127</v>
      </c>
      <c r="AD113">
        <v>-933.06696211234635</v>
      </c>
      <c r="AE113">
        <v>262.28951965230584</v>
      </c>
      <c r="AF113">
        <v>3.19</v>
      </c>
      <c r="AG113">
        <v>6000</v>
      </c>
    </row>
    <row r="114" spans="1:33" x14ac:dyDescent="0.3">
      <c r="A114" t="s">
        <v>59</v>
      </c>
      <c r="B114" s="114" t="s">
        <v>55</v>
      </c>
      <c r="C114" s="107" t="s">
        <v>359</v>
      </c>
      <c r="D114">
        <v>8.9</v>
      </c>
      <c r="E114">
        <v>29</v>
      </c>
      <c r="F114">
        <v>670</v>
      </c>
      <c r="G114">
        <v>22.7</v>
      </c>
      <c r="H114">
        <v>6000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4.8126966385862051</v>
      </c>
      <c r="O114">
        <v>95.175106979945312</v>
      </c>
      <c r="P114">
        <v>1.2193261525531131E-2</v>
      </c>
      <c r="Q114">
        <v>3.1190288758729872E-6</v>
      </c>
      <c r="R114">
        <v>9.1397112686020207E-10</v>
      </c>
      <c r="S114">
        <v>1.197668159431175E-13</v>
      </c>
      <c r="T114">
        <v>98.433361374027484</v>
      </c>
      <c r="U114">
        <v>-8.7951908804970866</v>
      </c>
      <c r="V114">
        <v>48.452747600348609</v>
      </c>
      <c r="W114">
        <v>-105.0883248896715</v>
      </c>
      <c r="X114">
        <v>92.791492702893592</v>
      </c>
      <c r="Y114">
        <v>-30.171062321252222</v>
      </c>
      <c r="Z114">
        <v>40.568158871363025</v>
      </c>
      <c r="AA114">
        <v>311.11586332830893</v>
      </c>
      <c r="AB114">
        <v>-893.66790158586412</v>
      </c>
      <c r="AC114">
        <v>1310.6297556106231</v>
      </c>
      <c r="AD114">
        <v>-947.05758553507815</v>
      </c>
      <c r="AE114">
        <v>266.22234982012316</v>
      </c>
      <c r="AF114">
        <v>3.19</v>
      </c>
      <c r="AG114">
        <v>6000</v>
      </c>
    </row>
    <row r="115" spans="1:33" x14ac:dyDescent="0.3">
      <c r="A115" t="s">
        <v>59</v>
      </c>
      <c r="B115" s="114" t="s">
        <v>55</v>
      </c>
      <c r="C115" s="107" t="s">
        <v>360</v>
      </c>
      <c r="D115">
        <v>10.8</v>
      </c>
      <c r="E115">
        <v>43</v>
      </c>
      <c r="F115">
        <v>890</v>
      </c>
      <c r="G115">
        <v>24.5</v>
      </c>
      <c r="H115">
        <v>6000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4.8126966385861776</v>
      </c>
      <c r="O115">
        <v>95.175106979945369</v>
      </c>
      <c r="P115">
        <v>1.2193261524934705E-2</v>
      </c>
      <c r="Q115">
        <v>3.1190312942136437E-6</v>
      </c>
      <c r="R115">
        <v>9.1056498884775933E-10</v>
      </c>
      <c r="S115">
        <v>1.6510711055015479E-12</v>
      </c>
      <c r="T115">
        <v>99.045350710047416</v>
      </c>
      <c r="U115">
        <v>-8.8498731848718943</v>
      </c>
      <c r="V115">
        <v>48.753992670304626</v>
      </c>
      <c r="W115">
        <v>-105.74169010322069</v>
      </c>
      <c r="X115">
        <v>93.368404871863319</v>
      </c>
      <c r="Y115">
        <v>-30.358644743917143</v>
      </c>
      <c r="Z115">
        <v>40.844759954576659</v>
      </c>
      <c r="AA115">
        <v>313.23710785100099</v>
      </c>
      <c r="AB115">
        <v>-899.76109182394998</v>
      </c>
      <c r="AC115">
        <v>1319.5658675807035</v>
      </c>
      <c r="AD115">
        <v>-953.51479634555665</v>
      </c>
      <c r="AE115">
        <v>268.03750220526632</v>
      </c>
      <c r="AF115">
        <v>3.19</v>
      </c>
      <c r="AG115">
        <v>6000</v>
      </c>
    </row>
    <row r="116" spans="1:33" x14ac:dyDescent="0.3">
      <c r="A116" t="s">
        <v>59</v>
      </c>
      <c r="B116" s="114" t="s">
        <v>55</v>
      </c>
      <c r="C116" s="107" t="s">
        <v>361</v>
      </c>
      <c r="D116">
        <v>12.7</v>
      </c>
      <c r="E116">
        <v>54</v>
      </c>
      <c r="F116">
        <v>1010</v>
      </c>
      <c r="G116">
        <v>27</v>
      </c>
      <c r="H116">
        <v>6000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4.8126966385861794</v>
      </c>
      <c r="O116">
        <v>95.175106979945667</v>
      </c>
      <c r="P116">
        <v>1.2193261523454251E-2</v>
      </c>
      <c r="Q116">
        <v>3.1190338866891392E-6</v>
      </c>
      <c r="R116">
        <v>9.086720410800881E-10</v>
      </c>
      <c r="S116">
        <v>2.1215835967066523E-12</v>
      </c>
      <c r="T116">
        <v>98.798530752292891</v>
      </c>
      <c r="U116">
        <v>-8.8278193952658857</v>
      </c>
      <c r="V116">
        <v>48.632498240462283</v>
      </c>
      <c r="W116">
        <v>-105.47818293907112</v>
      </c>
      <c r="X116">
        <v>93.135731802565545</v>
      </c>
      <c r="Y116">
        <v>-30.282991324947282</v>
      </c>
      <c r="Z116">
        <v>40.983060496185104</v>
      </c>
      <c r="AA116">
        <v>314.29773011232726</v>
      </c>
      <c r="AB116">
        <v>-902.80768694289702</v>
      </c>
      <c r="AC116">
        <v>1324.0339235655404</v>
      </c>
      <c r="AD116">
        <v>-956.74340175060297</v>
      </c>
      <c r="AE116">
        <v>268.94507839777015</v>
      </c>
      <c r="AF116">
        <v>3.19</v>
      </c>
      <c r="AG116">
        <v>6000</v>
      </c>
    </row>
    <row r="117" spans="1:33" x14ac:dyDescent="0.3">
      <c r="A117" t="s">
        <v>59</v>
      </c>
      <c r="B117" s="114" t="s">
        <v>55</v>
      </c>
      <c r="C117" s="107" t="s">
        <v>362</v>
      </c>
      <c r="D117">
        <v>14.7</v>
      </c>
      <c r="E117">
        <v>67</v>
      </c>
      <c r="F117">
        <v>1090</v>
      </c>
      <c r="G117">
        <v>31.2</v>
      </c>
      <c r="H117">
        <v>6000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4.812696638586111</v>
      </c>
      <c r="O117">
        <v>95.175106979946321</v>
      </c>
      <c r="P117">
        <v>1.2193261520812668E-2</v>
      </c>
      <c r="Q117">
        <v>3.1190390403013699E-6</v>
      </c>
      <c r="R117">
        <v>9.0412088743935624E-10</v>
      </c>
      <c r="S117">
        <v>3.5758949331587934E-12</v>
      </c>
      <c r="T117">
        <v>98.294575335284989</v>
      </c>
      <c r="U117">
        <v>-8.7827901081836259</v>
      </c>
      <c r="V117">
        <v>48.38443168781118</v>
      </c>
      <c r="W117">
        <v>-104.94015569045406</v>
      </c>
      <c r="X117">
        <v>92.660661412333951</v>
      </c>
      <c r="Y117">
        <v>-30.128522656180643</v>
      </c>
      <c r="Z117">
        <v>41.259661579399022</v>
      </c>
      <c r="AA117">
        <v>316.41897463502016</v>
      </c>
      <c r="AB117">
        <v>-908.90087718098187</v>
      </c>
      <c r="AC117">
        <v>1332.9700355356115</v>
      </c>
      <c r="AD117">
        <v>-963.20061256106828</v>
      </c>
      <c r="AE117">
        <v>270.76023078290712</v>
      </c>
      <c r="AF117">
        <v>3.19</v>
      </c>
      <c r="AG117">
        <v>6000</v>
      </c>
    </row>
    <row r="118" spans="1:33" x14ac:dyDescent="0.3">
      <c r="A118" t="s">
        <v>59</v>
      </c>
      <c r="B118" s="114" t="s">
        <v>55</v>
      </c>
      <c r="C118" s="107" t="s">
        <v>363</v>
      </c>
      <c r="D118">
        <v>16.600000000000001</v>
      </c>
      <c r="E118">
        <v>84</v>
      </c>
      <c r="F118">
        <v>1280</v>
      </c>
      <c r="G118">
        <v>33.6</v>
      </c>
      <c r="H118">
        <v>6000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4.8126966385861314</v>
      </c>
      <c r="O118">
        <v>95.175106979946136</v>
      </c>
      <c r="P118">
        <v>1.2193261521300274E-2</v>
      </c>
      <c r="Q118">
        <v>3.1190383211095524E-6</v>
      </c>
      <c r="R118">
        <v>9.0464821984460927E-10</v>
      </c>
      <c r="S118">
        <v>3.447573344648313E-12</v>
      </c>
      <c r="T118">
        <v>97.839036185116896</v>
      </c>
      <c r="U118">
        <v>-8.7420868981814959</v>
      </c>
      <c r="V118">
        <v>48.160197513981544</v>
      </c>
      <c r="W118">
        <v>-104.45381807540036</v>
      </c>
      <c r="X118">
        <v>92.231232231636241</v>
      </c>
      <c r="Y118">
        <v>-29.988894181673441</v>
      </c>
      <c r="Z118">
        <v>41.259661579397502</v>
      </c>
      <c r="AA118">
        <v>316.41897463503989</v>
      </c>
      <c r="AB118">
        <v>-908.90087718106656</v>
      </c>
      <c r="AC118">
        <v>1332.9700355357807</v>
      </c>
      <c r="AD118">
        <v>-963.20061256122506</v>
      </c>
      <c r="AE118">
        <v>270.76023078296123</v>
      </c>
      <c r="AF118">
        <v>3.19</v>
      </c>
      <c r="AG118">
        <v>6000</v>
      </c>
    </row>
    <row r="119" spans="1:33" x14ac:dyDescent="0.3">
      <c r="A119" t="s">
        <v>59</v>
      </c>
      <c r="B119" s="114" t="s">
        <v>55</v>
      </c>
      <c r="C119" s="107" t="s">
        <v>364</v>
      </c>
      <c r="D119">
        <v>17.600000000000001</v>
      </c>
      <c r="E119">
        <v>94</v>
      </c>
      <c r="F119">
        <v>1340</v>
      </c>
      <c r="G119">
        <v>35.700000000000003</v>
      </c>
      <c r="H119">
        <v>6000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4.8126966385861261</v>
      </c>
      <c r="O119">
        <v>95.175106979946193</v>
      </c>
      <c r="P119">
        <v>1.2193261521668598E-2</v>
      </c>
      <c r="Q119">
        <v>3.1190363497265262E-6</v>
      </c>
      <c r="R119">
        <v>9.0727808007211094E-10</v>
      </c>
      <c r="S119">
        <v>2.3696720011602511E-12</v>
      </c>
      <c r="T119">
        <v>97.547965376540134</v>
      </c>
      <c r="U119">
        <v>-8.716079218619619</v>
      </c>
      <c r="V119">
        <v>48.01692108591719</v>
      </c>
      <c r="W119">
        <v>-104.14306831264672</v>
      </c>
      <c r="X119">
        <v>91.95684462127916</v>
      </c>
      <c r="Y119">
        <v>-29.899677320826587</v>
      </c>
      <c r="Z119">
        <v>41.490162482074737</v>
      </c>
      <c r="AA119">
        <v>318.18667840396904</v>
      </c>
      <c r="AB119">
        <v>-913.97853571289602</v>
      </c>
      <c r="AC119">
        <v>1340.4167955110279</v>
      </c>
      <c r="AD119">
        <v>-968.58162157011566</v>
      </c>
      <c r="AE119">
        <v>272.27285777063122</v>
      </c>
      <c r="AF119">
        <v>3.19</v>
      </c>
      <c r="AG119">
        <v>6000</v>
      </c>
    </row>
    <row r="120" spans="1:33" x14ac:dyDescent="0.3">
      <c r="A120" t="s">
        <v>59</v>
      </c>
      <c r="B120" s="114" t="s">
        <v>55</v>
      </c>
      <c r="C120" s="107" t="s">
        <v>365</v>
      </c>
      <c r="D120">
        <v>18.5</v>
      </c>
      <c r="E120">
        <v>105</v>
      </c>
      <c r="F120">
        <v>1440</v>
      </c>
      <c r="G120">
        <v>38.1</v>
      </c>
      <c r="H120">
        <v>6000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4.8126966385861003</v>
      </c>
      <c r="O120">
        <v>95.175106979946406</v>
      </c>
      <c r="P120">
        <v>1.2193261520671708E-2</v>
      </c>
      <c r="Q120">
        <v>3.1190385394014202E-6</v>
      </c>
      <c r="R120">
        <v>9.0520025436902573E-10</v>
      </c>
      <c r="S120">
        <v>3.0711633516842269E-12</v>
      </c>
      <c r="T120">
        <v>97.078579092350665</v>
      </c>
      <c r="U120">
        <v>-8.6741387432683492</v>
      </c>
      <c r="V120">
        <v>47.785870811508332</v>
      </c>
      <c r="W120">
        <v>-103.64194737512736</v>
      </c>
      <c r="X120">
        <v>91.514361977597048</v>
      </c>
      <c r="Y120">
        <v>-29.755804525705003</v>
      </c>
      <c r="Z120">
        <v>41.536262662611747</v>
      </c>
      <c r="AA120">
        <v>318.54021915772665</v>
      </c>
      <c r="AB120">
        <v>-914.99406741912424</v>
      </c>
      <c r="AC120">
        <v>1341.9061475057902</v>
      </c>
      <c r="AD120">
        <v>-969.65782337162398</v>
      </c>
      <c r="AE120">
        <v>272.57538316807177</v>
      </c>
      <c r="AF120">
        <v>3.19</v>
      </c>
      <c r="AG120">
        <v>6000</v>
      </c>
    </row>
    <row r="121" spans="1:33" x14ac:dyDescent="0.3">
      <c r="A121" t="s">
        <v>59</v>
      </c>
      <c r="B121" s="114" t="s">
        <v>55</v>
      </c>
      <c r="C121" s="107" t="s">
        <v>366</v>
      </c>
      <c r="D121">
        <v>20.399999999999999</v>
      </c>
      <c r="E121">
        <v>120</v>
      </c>
      <c r="F121">
        <v>1620</v>
      </c>
      <c r="G121">
        <v>38</v>
      </c>
      <c r="H121">
        <v>6000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4.8126966385861172</v>
      </c>
      <c r="O121">
        <v>95.175106979946321</v>
      </c>
      <c r="P121">
        <v>1.2193261520716581E-2</v>
      </c>
      <c r="Q121">
        <v>3.1190392522945843E-6</v>
      </c>
      <c r="R121">
        <v>9.0384909260821464E-10</v>
      </c>
      <c r="S121">
        <v>3.7298808393713757E-12</v>
      </c>
      <c r="T121">
        <v>97.01181898434929</v>
      </c>
      <c r="U121">
        <v>-8.6681736122916924</v>
      </c>
      <c r="V121">
        <v>47.753008877123406</v>
      </c>
      <c r="W121">
        <v>-103.57067369493058</v>
      </c>
      <c r="X121">
        <v>91.451428334085975</v>
      </c>
      <c r="Y121">
        <v>-29.735341713596608</v>
      </c>
      <c r="Z121">
        <v>41.58236284314691</v>
      </c>
      <c r="AA121">
        <v>318.89375991151513</v>
      </c>
      <c r="AB121">
        <v>-916.00959912549968</v>
      </c>
      <c r="AC121">
        <v>1343.3954995008648</v>
      </c>
      <c r="AD121">
        <v>-970.73402517343516</v>
      </c>
      <c r="AE121">
        <v>272.87790856562083</v>
      </c>
      <c r="AF121">
        <v>3.19</v>
      </c>
      <c r="AG121">
        <v>6000</v>
      </c>
    </row>
    <row r="122" spans="1:33" x14ac:dyDescent="0.3">
      <c r="A122" t="s">
        <v>59</v>
      </c>
      <c r="B122" s="114" t="s">
        <v>55</v>
      </c>
      <c r="C122" s="107" t="s">
        <v>367</v>
      </c>
      <c r="D122">
        <v>31.5</v>
      </c>
      <c r="E122">
        <v>134</v>
      </c>
      <c r="F122">
        <v>2720</v>
      </c>
      <c r="G122">
        <v>25.8</v>
      </c>
      <c r="H122">
        <v>6000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4.812696638586111</v>
      </c>
      <c r="O122">
        <v>95.175106979946321</v>
      </c>
      <c r="P122">
        <v>1.2193261520812668E-2</v>
      </c>
      <c r="Q122">
        <v>3.1190390403013699E-6</v>
      </c>
      <c r="R122">
        <v>9.0412088743935624E-10</v>
      </c>
      <c r="S122">
        <v>3.5758949331587934E-12</v>
      </c>
      <c r="T122">
        <v>94.663020227651771</v>
      </c>
      <c r="U122">
        <v>-8.4583043858747331</v>
      </c>
      <c r="V122">
        <v>46.596838329513474</v>
      </c>
      <c r="W122">
        <v>-101.06307542336998</v>
      </c>
      <c r="X122">
        <v>89.237254809466791</v>
      </c>
      <c r="Y122">
        <v>-29.015405376164711</v>
      </c>
      <c r="Z122">
        <v>41.76676356529093</v>
      </c>
      <c r="AA122">
        <v>320.30792292662392</v>
      </c>
      <c r="AB122">
        <v>-920.07172595080453</v>
      </c>
      <c r="AC122">
        <v>1349.3529074807434</v>
      </c>
      <c r="AD122">
        <v>-975.03883238025628</v>
      </c>
      <c r="AE122">
        <v>274.08801015565859</v>
      </c>
      <c r="AF122">
        <v>3.19</v>
      </c>
      <c r="AG122">
        <v>6000</v>
      </c>
    </row>
    <row r="123" spans="1:33" x14ac:dyDescent="0.3">
      <c r="A123" t="s">
        <v>59</v>
      </c>
      <c r="B123" s="114" t="s">
        <v>55</v>
      </c>
      <c r="C123" s="107" t="s">
        <v>368</v>
      </c>
      <c r="D123">
        <v>33.299999999999997</v>
      </c>
      <c r="E123">
        <v>147</v>
      </c>
      <c r="F123">
        <v>2960</v>
      </c>
      <c r="G123">
        <v>26.2</v>
      </c>
      <c r="H123">
        <v>6000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4.8126966385862078</v>
      </c>
      <c r="O123">
        <v>95.175106979945355</v>
      </c>
      <c r="P123">
        <v>1.2193261524766644E-2</v>
      </c>
      <c r="Q123">
        <v>3.1190312338807633E-6</v>
      </c>
      <c r="R123">
        <v>9.1113976733285137E-10</v>
      </c>
      <c r="S123">
        <v>1.2746611125374646E-12</v>
      </c>
      <c r="T123">
        <v>94.766026778498045</v>
      </c>
      <c r="U123">
        <v>-8.4675081991356258</v>
      </c>
      <c r="V123">
        <v>46.647542179712353</v>
      </c>
      <c r="W123">
        <v>-101.17304612568672</v>
      </c>
      <c r="X123">
        <v>89.334357371832766</v>
      </c>
      <c r="Y123">
        <v>-29.04697817853441</v>
      </c>
      <c r="Z123">
        <v>41.766763565288784</v>
      </c>
      <c r="AA123">
        <v>320.30792292665092</v>
      </c>
      <c r="AB123">
        <v>-920.07172595091674</v>
      </c>
      <c r="AC123">
        <v>1349.3529074809533</v>
      </c>
      <c r="AD123">
        <v>-975.03883238043704</v>
      </c>
      <c r="AE123">
        <v>274.08801015571669</v>
      </c>
      <c r="AF123">
        <v>3.19</v>
      </c>
      <c r="AG123">
        <v>6000</v>
      </c>
    </row>
    <row r="124" spans="1:33" x14ac:dyDescent="0.3">
      <c r="A124" t="s">
        <v>59</v>
      </c>
      <c r="B124" s="114" t="s">
        <v>55</v>
      </c>
      <c r="C124" s="107" t="s">
        <v>369</v>
      </c>
      <c r="D124">
        <v>35.299999999999997</v>
      </c>
      <c r="E124">
        <v>169</v>
      </c>
      <c r="F124">
        <v>3200</v>
      </c>
      <c r="G124">
        <v>27.5</v>
      </c>
      <c r="H124">
        <v>6000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4.8126966385861074</v>
      </c>
      <c r="O124">
        <v>95.175106979946435</v>
      </c>
      <c r="P124">
        <v>1.21932615204391E-2</v>
      </c>
      <c r="Q124">
        <v>3.1190390766872571E-6</v>
      </c>
      <c r="R124">
        <v>9.0474781783856104E-10</v>
      </c>
      <c r="S124">
        <v>3.1823753950599786E-12</v>
      </c>
      <c r="T124">
        <v>94.147987473420983</v>
      </c>
      <c r="U124">
        <v>-8.4122853195776823</v>
      </c>
      <c r="V124">
        <v>46.343319078548433</v>
      </c>
      <c r="W124">
        <v>-100.51322191183985</v>
      </c>
      <c r="X124">
        <v>88.751741997682785</v>
      </c>
      <c r="Y124">
        <v>-28.857541364331027</v>
      </c>
      <c r="Z124">
        <v>41.81286374582541</v>
      </c>
      <c r="AA124">
        <v>320.66146368042234</v>
      </c>
      <c r="AB124">
        <v>-921.08725765722249</v>
      </c>
      <c r="AC124">
        <v>1350.8422594758897</v>
      </c>
      <c r="AD124">
        <v>-976.11503418211612</v>
      </c>
      <c r="AE124">
        <v>274.39053555321783</v>
      </c>
      <c r="AF124">
        <v>3.19</v>
      </c>
      <c r="AG124">
        <v>6000</v>
      </c>
    </row>
    <row r="125" spans="1:33" x14ac:dyDescent="0.3">
      <c r="A125" t="s">
        <v>59</v>
      </c>
      <c r="B125" s="114" t="s">
        <v>55</v>
      </c>
      <c r="C125" s="107" t="s">
        <v>370</v>
      </c>
      <c r="D125">
        <v>39.1</v>
      </c>
      <c r="E125">
        <v>188</v>
      </c>
      <c r="F125">
        <v>3620</v>
      </c>
      <c r="G125">
        <v>27</v>
      </c>
      <c r="H125">
        <v>6000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4.8126966385862273</v>
      </c>
      <c r="O125">
        <v>95.175106979944999</v>
      </c>
      <c r="P125">
        <v>1.2193261526286968E-2</v>
      </c>
      <c r="Q125">
        <v>3.1190287880458608E-6</v>
      </c>
      <c r="R125">
        <v>9.1268321961135009E-10</v>
      </c>
      <c r="S125">
        <v>9.9235361781440175E-13</v>
      </c>
      <c r="T125">
        <v>94.663020227652027</v>
      </c>
      <c r="U125">
        <v>-8.4583043858784119</v>
      </c>
      <c r="V125">
        <v>46.596838329530819</v>
      </c>
      <c r="W125">
        <v>-101.06307542340539</v>
      </c>
      <c r="X125">
        <v>89.237254809499163</v>
      </c>
      <c r="Y125">
        <v>-29.015405376175593</v>
      </c>
      <c r="Z125">
        <v>41.90506410689639</v>
      </c>
      <c r="AA125">
        <v>321.36854518799106</v>
      </c>
      <c r="AB125">
        <v>-923.11832106994473</v>
      </c>
      <c r="AC125">
        <v>1353.820963465982</v>
      </c>
      <c r="AD125">
        <v>-978.26743778567879</v>
      </c>
      <c r="AE125">
        <v>274.99558634829231</v>
      </c>
      <c r="AF125">
        <v>3.19</v>
      </c>
      <c r="AG125">
        <v>6000</v>
      </c>
    </row>
    <row r="126" spans="1:33" x14ac:dyDescent="0.3">
      <c r="A126" t="s">
        <v>59</v>
      </c>
      <c r="B126" s="114" t="s">
        <v>55</v>
      </c>
      <c r="C126" s="107" t="s">
        <v>371</v>
      </c>
      <c r="D126">
        <v>41.1</v>
      </c>
      <c r="E126">
        <v>214</v>
      </c>
      <c r="F126">
        <v>3540</v>
      </c>
      <c r="G126">
        <v>31.9</v>
      </c>
      <c r="H126">
        <v>6000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4.8126966385861225</v>
      </c>
      <c r="O126">
        <v>95.175106979946122</v>
      </c>
      <c r="P126">
        <v>1.2193261521936439E-2</v>
      </c>
      <c r="Q126">
        <v>3.1190361068853883E-6</v>
      </c>
      <c r="R126">
        <v>9.0728061873343487E-10</v>
      </c>
      <c r="S126">
        <v>2.4210006365644461E-12</v>
      </c>
      <c r="T126">
        <v>94.044980922574695</v>
      </c>
      <c r="U126">
        <v>-8.4030815063163242</v>
      </c>
      <c r="V126">
        <v>46.292615228345667</v>
      </c>
      <c r="W126">
        <v>-100.40325120951344</v>
      </c>
      <c r="X126">
        <v>88.654639435307445</v>
      </c>
      <c r="Y126">
        <v>-28.825968561958188</v>
      </c>
      <c r="Z126">
        <v>41.99726446796754</v>
      </c>
      <c r="AA126">
        <v>322.07562669556069</v>
      </c>
      <c r="AB126">
        <v>-925.14938448265411</v>
      </c>
      <c r="AC126">
        <v>1356.7996674560111</v>
      </c>
      <c r="AD126">
        <v>-980.41984138915132</v>
      </c>
      <c r="AE126">
        <v>275.60063714332586</v>
      </c>
      <c r="AF126">
        <v>3.19</v>
      </c>
      <c r="AG126">
        <v>6000</v>
      </c>
    </row>
    <row r="127" spans="1:33" x14ac:dyDescent="0.3">
      <c r="A127" t="s">
        <v>59</v>
      </c>
      <c r="B127" s="114" t="s">
        <v>55</v>
      </c>
      <c r="C127" s="107" t="s">
        <v>372</v>
      </c>
      <c r="D127">
        <v>43.1</v>
      </c>
      <c r="E127">
        <v>241</v>
      </c>
      <c r="F127">
        <v>3380</v>
      </c>
      <c r="G127">
        <v>37.6</v>
      </c>
      <c r="H127">
        <v>6000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4.8126966385861421</v>
      </c>
      <c r="O127">
        <v>95.175106979946094</v>
      </c>
      <c r="P127">
        <v>1.2193261521777436E-2</v>
      </c>
      <c r="Q127">
        <v>3.1190367585109454E-6</v>
      </c>
      <c r="R127">
        <v>9.0649257896255954E-10</v>
      </c>
      <c r="S127">
        <v>2.7204176764222398E-12</v>
      </c>
      <c r="T127">
        <v>93.529948168343793</v>
      </c>
      <c r="U127">
        <v>-8.3570624400176285</v>
      </c>
      <c r="V127">
        <v>46.039095977373449</v>
      </c>
      <c r="W127">
        <v>-99.853397697969697</v>
      </c>
      <c r="X127">
        <v>88.169126623511801</v>
      </c>
      <c r="Y127">
        <v>-28.668104550120816</v>
      </c>
      <c r="Z127">
        <v>42.18166519010974</v>
      </c>
      <c r="AA127">
        <v>323.48978971069056</v>
      </c>
      <c r="AB127">
        <v>-929.21151130804674</v>
      </c>
      <c r="AC127">
        <v>1362.7570754360652</v>
      </c>
      <c r="AD127">
        <v>-984.72464859613899</v>
      </c>
      <c r="AE127">
        <v>276.81073873342325</v>
      </c>
      <c r="AF127">
        <v>3.19</v>
      </c>
      <c r="AG127">
        <v>6000</v>
      </c>
    </row>
    <row r="128" spans="1:33" x14ac:dyDescent="0.3">
      <c r="A128" t="s">
        <v>59</v>
      </c>
      <c r="B128" s="114" t="s">
        <v>213</v>
      </c>
      <c r="C128" s="107" t="s">
        <v>350</v>
      </c>
      <c r="D128">
        <v>6.8</v>
      </c>
      <c r="E128">
        <v>35</v>
      </c>
      <c r="F128">
        <v>1100</v>
      </c>
      <c r="G128">
        <v>15.6</v>
      </c>
      <c r="H128">
        <v>3600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1.6091792796963089</v>
      </c>
      <c r="O128">
        <v>98.025268612087686</v>
      </c>
      <c r="P128">
        <v>3.9621691663975045</v>
      </c>
      <c r="Q128">
        <v>-18.444429502179212</v>
      </c>
      <c r="R128">
        <v>24.748221863650432</v>
      </c>
      <c r="S128">
        <v>-10.272846811320877</v>
      </c>
      <c r="T128">
        <v>93.288790524894083</v>
      </c>
      <c r="U128">
        <v>19.205390311329889</v>
      </c>
      <c r="V128">
        <v>-20.583493617758453</v>
      </c>
      <c r="W128">
        <v>-3.4762545104424527</v>
      </c>
      <c r="X128">
        <v>5.7958722782492682</v>
      </c>
      <c r="Y128">
        <v>-0.98428798974170395</v>
      </c>
      <c r="Z128">
        <v>82.380953311272378</v>
      </c>
      <c r="AA128">
        <v>60.772009349055139</v>
      </c>
      <c r="AB128">
        <v>-128.19264526855301</v>
      </c>
      <c r="AC128">
        <v>118.59424727200755</v>
      </c>
      <c r="AD128">
        <v>-47.207915791869247</v>
      </c>
      <c r="AE128">
        <v>5.3686869535392301</v>
      </c>
      <c r="AF128">
        <v>4.5999999999999996</v>
      </c>
      <c r="AG128">
        <v>3600</v>
      </c>
    </row>
    <row r="129" spans="1:35" x14ac:dyDescent="0.3">
      <c r="A129" t="s">
        <v>59</v>
      </c>
      <c r="B129" s="114" t="s">
        <v>214</v>
      </c>
      <c r="C129" s="107" t="s">
        <v>373</v>
      </c>
      <c r="D129">
        <v>52</v>
      </c>
      <c r="E129">
        <v>804</v>
      </c>
      <c r="F129">
        <v>1992</v>
      </c>
      <c r="G129">
        <v>150.5</v>
      </c>
      <c r="H129">
        <v>3600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2.9461921235072386</v>
      </c>
      <c r="O129">
        <v>97.035202397469916</v>
      </c>
      <c r="P129">
        <v>1.8598605000110603E-2</v>
      </c>
      <c r="Q129">
        <v>6.8733876945140734E-6</v>
      </c>
      <c r="R129">
        <v>6.3469163946772E-10</v>
      </c>
      <c r="S129">
        <v>3.3392248403308938E-13</v>
      </c>
      <c r="T129">
        <v>95.98597459531733</v>
      </c>
      <c r="U129">
        <v>5.3442983740421273</v>
      </c>
      <c r="V129">
        <v>15.031246647740279</v>
      </c>
      <c r="W129">
        <v>-51.729156693461896</v>
      </c>
      <c r="X129">
        <v>41.693924846079206</v>
      </c>
      <c r="Y129">
        <v>-11.617029275015383</v>
      </c>
      <c r="Z129">
        <v>57.890679359306603</v>
      </c>
      <c r="AA129">
        <v>230.21977825849055</v>
      </c>
      <c r="AB129">
        <v>-642.63299841101968</v>
      </c>
      <c r="AC129">
        <v>896.21140403559434</v>
      </c>
      <c r="AD129">
        <v>-608.40593567045823</v>
      </c>
      <c r="AE129">
        <v>159.54744477958079</v>
      </c>
      <c r="AF129">
        <v>5.12</v>
      </c>
      <c r="AG129">
        <v>3600</v>
      </c>
    </row>
    <row r="130" spans="1:35" x14ac:dyDescent="0.3">
      <c r="A130" t="s">
        <v>59</v>
      </c>
      <c r="B130" s="114" t="s">
        <v>214</v>
      </c>
      <c r="C130" s="107" t="s">
        <v>374</v>
      </c>
      <c r="D130">
        <v>45</v>
      </c>
      <c r="E130">
        <v>740</v>
      </c>
      <c r="F130">
        <v>4140</v>
      </c>
      <c r="G130">
        <v>87.8</v>
      </c>
      <c r="H130">
        <v>3600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1.5645012765593378</v>
      </c>
      <c r="O130">
        <v>98.420333697105818</v>
      </c>
      <c r="P130">
        <v>1.5160354313714132E-2</v>
      </c>
      <c r="Q130">
        <v>4.6702246504076694E-6</v>
      </c>
      <c r="R130">
        <v>1.7944562801994239E-9</v>
      </c>
      <c r="S130">
        <v>1.9822804576073985E-12</v>
      </c>
      <c r="T130">
        <v>93.735249166617791</v>
      </c>
      <c r="U130">
        <v>21.650485410412131</v>
      </c>
      <c r="V130">
        <v>-49.163048242465791</v>
      </c>
      <c r="W130">
        <v>64.407063337572765</v>
      </c>
      <c r="X130">
        <v>-52.074044302524818</v>
      </c>
      <c r="Y130">
        <v>16.19689123351915</v>
      </c>
      <c r="Z130">
        <v>81.486380214955034</v>
      </c>
      <c r="AA130">
        <v>76.907565616788247</v>
      </c>
      <c r="AB130">
        <v>-191.36038689499887</v>
      </c>
      <c r="AC130">
        <v>233.84241322425953</v>
      </c>
      <c r="AD130">
        <v>-143.21575574594482</v>
      </c>
      <c r="AE130">
        <v>34.649447077979758</v>
      </c>
      <c r="AF130">
        <v>5.12</v>
      </c>
      <c r="AG130">
        <v>3600</v>
      </c>
    </row>
    <row r="131" spans="1:35" x14ac:dyDescent="0.3">
      <c r="A131" t="s">
        <v>59</v>
      </c>
      <c r="B131" s="114" t="s">
        <v>214</v>
      </c>
      <c r="C131" s="107" t="s">
        <v>375</v>
      </c>
      <c r="D131">
        <v>49</v>
      </c>
      <c r="E131">
        <v>900</v>
      </c>
      <c r="F131">
        <v>4020</v>
      </c>
      <c r="G131">
        <v>110.2</v>
      </c>
      <c r="H131">
        <v>3600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1.5645012765594342</v>
      </c>
      <c r="O131">
        <v>98.420333697104724</v>
      </c>
      <c r="P131">
        <v>1.5160354317696285E-2</v>
      </c>
      <c r="Q131">
        <v>4.6702184324812245E-6</v>
      </c>
      <c r="R131">
        <v>1.7988296997534789E-9</v>
      </c>
      <c r="S131">
        <v>8.4246919448314434E-13</v>
      </c>
      <c r="T131">
        <v>93.617151009386646</v>
      </c>
      <c r="U131">
        <v>21.623207705886969</v>
      </c>
      <c r="V131">
        <v>-49.101107132224634</v>
      </c>
      <c r="W131">
        <v>64.3259161110836</v>
      </c>
      <c r="X131">
        <v>-52.008435593662902</v>
      </c>
      <c r="Y131">
        <v>16.17648457727374</v>
      </c>
      <c r="Z131">
        <v>81.398095946032882</v>
      </c>
      <c r="AA131">
        <v>76.824242143750155</v>
      </c>
      <c r="AB131">
        <v>-191.15306253217611</v>
      </c>
      <c r="AC131">
        <v>233.58906283075046</v>
      </c>
      <c r="AD131">
        <v>-143.06059241362161</v>
      </c>
      <c r="AE131">
        <v>34.611907048646493</v>
      </c>
      <c r="AF131">
        <v>5.12</v>
      </c>
      <c r="AG131">
        <v>3600</v>
      </c>
    </row>
    <row r="132" spans="1:35" x14ac:dyDescent="0.3">
      <c r="A132" t="s">
        <v>59</v>
      </c>
      <c r="B132" s="114" t="s">
        <v>340</v>
      </c>
      <c r="C132" s="107" t="s">
        <v>376</v>
      </c>
      <c r="D132">
        <v>33</v>
      </c>
      <c r="E132">
        <v>1360</v>
      </c>
      <c r="F132">
        <v>4380</v>
      </c>
      <c r="G132">
        <v>156.9</v>
      </c>
      <c r="H132">
        <v>3600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1.9834293841848649</v>
      </c>
      <c r="O132">
        <v>97.997400738751509</v>
      </c>
      <c r="P132">
        <v>1.916241437014804E-2</v>
      </c>
      <c r="Q132">
        <v>7.4607832720562033E-6</v>
      </c>
      <c r="R132">
        <v>1.9079081781524996E-9</v>
      </c>
      <c r="S132">
        <v>2.3016478646663666E-12</v>
      </c>
      <c r="T132">
        <v>93.882563869252152</v>
      </c>
      <c r="U132">
        <v>15.756451575351763</v>
      </c>
      <c r="V132">
        <v>-21.681036990201324</v>
      </c>
      <c r="W132">
        <v>1.1958676991410242</v>
      </c>
      <c r="X132">
        <v>-2.9675681067188111</v>
      </c>
      <c r="Y132">
        <v>2.8462979657611363</v>
      </c>
      <c r="Z132">
        <v>77.798318477334078</v>
      </c>
      <c r="AA132">
        <v>98.546618514579606</v>
      </c>
      <c r="AB132">
        <v>-234.03251976304233</v>
      </c>
      <c r="AC132">
        <v>284.79618516491439</v>
      </c>
      <c r="AD132">
        <v>-174.0988359722156</v>
      </c>
      <c r="AE132">
        <v>42.070594110442265</v>
      </c>
      <c r="AF132">
        <v>7.44</v>
      </c>
      <c r="AG132">
        <v>3600</v>
      </c>
    </row>
    <row r="133" spans="1:35" x14ac:dyDescent="0.3">
      <c r="A133" t="s">
        <v>59</v>
      </c>
      <c r="B133" s="114" t="s">
        <v>213</v>
      </c>
      <c r="C133" s="107" t="s">
        <v>377</v>
      </c>
      <c r="D133">
        <v>20.8</v>
      </c>
      <c r="E133">
        <v>360</v>
      </c>
      <c r="F133">
        <v>4210</v>
      </c>
      <c r="G133">
        <v>46.2</v>
      </c>
      <c r="H133">
        <v>6000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2.821914372905812</v>
      </c>
      <c r="O133">
        <v>97.138355000272981</v>
      </c>
      <c r="P133">
        <v>3.9698146265675201E-2</v>
      </c>
      <c r="Q133">
        <v>3.2447325477759297E-5</v>
      </c>
      <c r="R133">
        <v>3.3230289057176527E-8</v>
      </c>
      <c r="S133">
        <v>-1.3063696768584413E-11</v>
      </c>
      <c r="T133">
        <v>0.93523400085331554</v>
      </c>
      <c r="U133">
        <v>9.4759700522302481E-3</v>
      </c>
      <c r="V133">
        <v>0.60988817037637444</v>
      </c>
      <c r="W133">
        <v>-2.1844482103835254</v>
      </c>
      <c r="X133">
        <v>2.8177222178017107</v>
      </c>
      <c r="Y133">
        <v>-1.7450378733966603</v>
      </c>
      <c r="Z133">
        <v>55.523057861139222</v>
      </c>
      <c r="AA133">
        <v>294.98273928356758</v>
      </c>
      <c r="AB133">
        <v>-1056.360672218558</v>
      </c>
      <c r="AC133">
        <v>2047.0027666655028</v>
      </c>
      <c r="AD133">
        <v>-2191.0573016034609</v>
      </c>
      <c r="AE133">
        <v>1213.1916384288807</v>
      </c>
      <c r="AF133">
        <v>4.5999999999999996</v>
      </c>
      <c r="AG133">
        <v>6000</v>
      </c>
    </row>
    <row r="134" spans="1:35" x14ac:dyDescent="0.3">
      <c r="A134" s="14" t="s">
        <v>523</v>
      </c>
      <c r="B134" s="114" t="s">
        <v>378</v>
      </c>
      <c r="C134" s="107" t="str">
        <f>AI134 &amp; " " &amp; E134 &amp; "HP " &amp; F134 &amp; "V " &amp; G134 &amp; "AMP"</f>
        <v>SPECTRUM PMM 95,16HP 1658,4406779661V 31,2481481481482AMP</v>
      </c>
      <c r="D134">
        <v>6.1</v>
      </c>
      <c r="E134">
        <v>95.160000000000011</v>
      </c>
      <c r="F134">
        <v>1658.4406779661017</v>
      </c>
      <c r="G134">
        <v>31.24814814814815</v>
      </c>
      <c r="H134">
        <v>3600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6.0605609292324232</v>
      </c>
      <c r="O134">
        <v>48.602159930594567</v>
      </c>
      <c r="P134">
        <v>162.07526224243094</v>
      </c>
      <c r="Q134">
        <v>-240.3223028042149</v>
      </c>
      <c r="R134">
        <v>169.47496678098625</v>
      </c>
      <c r="S134">
        <v>-45.882987640172793</v>
      </c>
      <c r="T134">
        <v>94.000275952560997</v>
      </c>
      <c r="U134">
        <v>-2.7030067413446961</v>
      </c>
      <c r="V134">
        <v>-24.561106240376141</v>
      </c>
      <c r="W134">
        <v>47.846253030287009</v>
      </c>
      <c r="X134">
        <v>-37.036229821224516</v>
      </c>
      <c r="Y134">
        <v>10.706980728312402</v>
      </c>
      <c r="Z134">
        <v>2.2930445032898206E-4</v>
      </c>
      <c r="AA134">
        <v>679.8105091116887</v>
      </c>
      <c r="AB134">
        <v>-1947.9605844903194</v>
      </c>
      <c r="AC134">
        <v>2698.3858963275197</v>
      </c>
      <c r="AD134">
        <v>-1805.4172809225352</v>
      </c>
      <c r="AE134">
        <v>468.24231442812265</v>
      </c>
      <c r="AF134">
        <v>5.63</v>
      </c>
      <c r="AG134">
        <v>3600</v>
      </c>
      <c r="AH134">
        <v>1200</v>
      </c>
      <c r="AI134" s="107" t="s">
        <v>379</v>
      </c>
    </row>
    <row r="135" spans="1:35" x14ac:dyDescent="0.3">
      <c r="A135" s="14" t="s">
        <v>523</v>
      </c>
      <c r="B135" s="114" t="s">
        <v>378</v>
      </c>
      <c r="C135" s="107" t="str">
        <f t="shared" ref="C135:C156" si="0">AI135 &amp; " " &amp; E135 &amp; "HP " &amp; F135 &amp; "V " &amp; G135 &amp; "AMP"</f>
        <v>SPECTRUM PMM 142,74HP 2487,66101694915V 31,2481481481481AMP</v>
      </c>
      <c r="D135">
        <v>7.6</v>
      </c>
      <c r="E135">
        <v>142.74</v>
      </c>
      <c r="F135">
        <v>2487.6610169491523</v>
      </c>
      <c r="G135">
        <v>31.248148148148147</v>
      </c>
      <c r="H135">
        <v>3600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6.0605609292324232</v>
      </c>
      <c r="O135">
        <v>48.602159930594567</v>
      </c>
      <c r="P135">
        <v>162.07526224243094</v>
      </c>
      <c r="Q135">
        <v>-240.3223028042149</v>
      </c>
      <c r="R135">
        <v>169.47496678098625</v>
      </c>
      <c r="S135">
        <v>-45.882987640172793</v>
      </c>
      <c r="T135">
        <v>94.000275952560997</v>
      </c>
      <c r="U135">
        <v>-2.7030067413446961</v>
      </c>
      <c r="V135">
        <v>-24.561106240376141</v>
      </c>
      <c r="W135">
        <v>47.846253030287009</v>
      </c>
      <c r="X135">
        <v>-37.036229821224516</v>
      </c>
      <c r="Y135">
        <v>10.706980728312402</v>
      </c>
      <c r="Z135">
        <v>2.2930445032898206E-4</v>
      </c>
      <c r="AA135">
        <v>679.8105091116887</v>
      </c>
      <c r="AB135">
        <v>-1947.9605844903194</v>
      </c>
      <c r="AC135">
        <v>2698.3858963275197</v>
      </c>
      <c r="AD135">
        <v>-1805.4172809225352</v>
      </c>
      <c r="AE135">
        <v>468.24231442812265</v>
      </c>
      <c r="AF135">
        <v>5.63</v>
      </c>
      <c r="AG135">
        <v>3600</v>
      </c>
      <c r="AH135">
        <v>1200</v>
      </c>
      <c r="AI135" s="107" t="s">
        <v>379</v>
      </c>
    </row>
    <row r="136" spans="1:35" x14ac:dyDescent="0.3">
      <c r="A136" s="14" t="s">
        <v>523</v>
      </c>
      <c r="B136" s="114" t="s">
        <v>378</v>
      </c>
      <c r="C136" s="107" t="str">
        <f t="shared" si="0"/>
        <v>SPECTRUM PMM 190,32HP 3316,8813559322V 31,2481481481482AMP</v>
      </c>
      <c r="D136">
        <v>9.1</v>
      </c>
      <c r="E136">
        <v>190.32000000000002</v>
      </c>
      <c r="F136">
        <v>3316.8813559322034</v>
      </c>
      <c r="G136">
        <v>31.24814814814815</v>
      </c>
      <c r="H136">
        <v>3600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6.0605609292324232</v>
      </c>
      <c r="O136">
        <v>48.602159930594567</v>
      </c>
      <c r="P136">
        <v>162.07526224243094</v>
      </c>
      <c r="Q136">
        <v>-240.3223028042149</v>
      </c>
      <c r="R136">
        <v>169.47496678098625</v>
      </c>
      <c r="S136">
        <v>-45.882987640172793</v>
      </c>
      <c r="T136">
        <v>94.000275952560997</v>
      </c>
      <c r="U136">
        <v>-2.7030067413446961</v>
      </c>
      <c r="V136">
        <v>-24.561106240376141</v>
      </c>
      <c r="W136">
        <v>47.846253030287009</v>
      </c>
      <c r="X136">
        <v>-37.036229821224516</v>
      </c>
      <c r="Y136">
        <v>10.706980728312402</v>
      </c>
      <c r="Z136">
        <v>2.2930445032898206E-4</v>
      </c>
      <c r="AA136">
        <v>679.8105091116887</v>
      </c>
      <c r="AB136">
        <v>-1947.9605844903194</v>
      </c>
      <c r="AC136">
        <v>2698.3858963275197</v>
      </c>
      <c r="AD136">
        <v>-1805.4172809225352</v>
      </c>
      <c r="AE136">
        <v>468.24231442812265</v>
      </c>
      <c r="AF136">
        <v>5.63</v>
      </c>
      <c r="AG136">
        <v>3600</v>
      </c>
      <c r="AH136">
        <v>1200</v>
      </c>
      <c r="AI136" s="107" t="s">
        <v>379</v>
      </c>
    </row>
    <row r="137" spans="1:35" x14ac:dyDescent="0.3">
      <c r="A137" s="14" t="s">
        <v>523</v>
      </c>
      <c r="B137" s="114" t="s">
        <v>378</v>
      </c>
      <c r="C137" s="107" t="str">
        <f t="shared" si="0"/>
        <v>SPECTRUM PMM 237,9HP 3777,5593220339V 34,2967479674797AMP</v>
      </c>
      <c r="D137">
        <v>10.6</v>
      </c>
      <c r="E137">
        <v>237.9</v>
      </c>
      <c r="F137">
        <v>3777.5593220338978</v>
      </c>
      <c r="G137">
        <v>34.296747967479675</v>
      </c>
      <c r="H137">
        <v>3600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6.0605609292324232</v>
      </c>
      <c r="O137">
        <v>48.602159930594567</v>
      </c>
      <c r="P137">
        <v>162.07526224243094</v>
      </c>
      <c r="Q137">
        <v>-240.3223028042149</v>
      </c>
      <c r="R137">
        <v>169.47496678098625</v>
      </c>
      <c r="S137">
        <v>-45.882987640172793</v>
      </c>
      <c r="T137">
        <v>94.000275952560997</v>
      </c>
      <c r="U137">
        <v>-2.7030067413446961</v>
      </c>
      <c r="V137">
        <v>-24.561106240376141</v>
      </c>
      <c r="W137">
        <v>47.846253030287009</v>
      </c>
      <c r="X137">
        <v>-37.036229821224516</v>
      </c>
      <c r="Y137">
        <v>10.706980728312402</v>
      </c>
      <c r="Z137">
        <v>2.2930445032898206E-4</v>
      </c>
      <c r="AA137">
        <v>679.8105091116887</v>
      </c>
      <c r="AB137">
        <v>-1947.9605844903194</v>
      </c>
      <c r="AC137">
        <v>2698.3858963275197</v>
      </c>
      <c r="AD137">
        <v>-1805.4172809225352</v>
      </c>
      <c r="AE137">
        <v>468.24231442812265</v>
      </c>
      <c r="AF137">
        <v>5.63</v>
      </c>
      <c r="AG137">
        <v>3600</v>
      </c>
      <c r="AH137">
        <v>1200</v>
      </c>
      <c r="AI137" s="107" t="s">
        <v>379</v>
      </c>
    </row>
    <row r="138" spans="1:35" x14ac:dyDescent="0.3">
      <c r="A138" s="14" t="s">
        <v>523</v>
      </c>
      <c r="B138" s="114" t="s">
        <v>378</v>
      </c>
      <c r="C138" s="107" t="str">
        <f t="shared" si="0"/>
        <v>SPECTRUM PMM 285,48HP 3943,40338983051V 39,4252336448598AMP</v>
      </c>
      <c r="D138">
        <v>12</v>
      </c>
      <c r="E138">
        <v>285.48</v>
      </c>
      <c r="F138">
        <v>3943.4033898305083</v>
      </c>
      <c r="G138">
        <v>39.425233644859809</v>
      </c>
      <c r="H138">
        <v>3600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6.0605609292324232</v>
      </c>
      <c r="O138">
        <v>48.602159930594567</v>
      </c>
      <c r="P138">
        <v>162.07526224243094</v>
      </c>
      <c r="Q138">
        <v>-240.3223028042149</v>
      </c>
      <c r="R138">
        <v>169.47496678098625</v>
      </c>
      <c r="S138">
        <v>-45.882987640172793</v>
      </c>
      <c r="T138">
        <v>94.000275952560997</v>
      </c>
      <c r="U138">
        <v>-2.7030067413446961</v>
      </c>
      <c r="V138">
        <v>-24.561106240376141</v>
      </c>
      <c r="W138">
        <v>47.846253030287009</v>
      </c>
      <c r="X138">
        <v>-37.036229821224516</v>
      </c>
      <c r="Y138">
        <v>10.706980728312402</v>
      </c>
      <c r="Z138">
        <v>2.2930445032898206E-4</v>
      </c>
      <c r="AA138">
        <v>679.8105091116887</v>
      </c>
      <c r="AB138">
        <v>-1947.9605844903194</v>
      </c>
      <c r="AC138">
        <v>2698.3858963275197</v>
      </c>
      <c r="AD138">
        <v>-1805.4172809225352</v>
      </c>
      <c r="AE138">
        <v>468.24231442812265</v>
      </c>
      <c r="AF138">
        <v>5.62</v>
      </c>
      <c r="AG138">
        <v>3600</v>
      </c>
      <c r="AH138">
        <v>1200</v>
      </c>
      <c r="AI138" s="107" t="s">
        <v>379</v>
      </c>
    </row>
    <row r="139" spans="1:35" x14ac:dyDescent="0.3">
      <c r="A139" s="14" t="s">
        <v>523</v>
      </c>
      <c r="B139" s="114" t="s">
        <v>378</v>
      </c>
      <c r="C139" s="107" t="str">
        <f t="shared" si="0"/>
        <v>SPECTRUM PMM 333,06HP 3912,69152542373V 46,3571428571429AMP</v>
      </c>
      <c r="D139">
        <v>13.5</v>
      </c>
      <c r="E139">
        <v>333.06</v>
      </c>
      <c r="F139">
        <v>3912.6915254237283</v>
      </c>
      <c r="G139">
        <v>46.357142857142868</v>
      </c>
      <c r="H139">
        <v>3600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6.0605609292324232</v>
      </c>
      <c r="O139">
        <v>48.602159930594567</v>
      </c>
      <c r="P139">
        <v>162.07526224243094</v>
      </c>
      <c r="Q139">
        <v>-240.3223028042149</v>
      </c>
      <c r="R139">
        <v>169.47496678098625</v>
      </c>
      <c r="S139">
        <v>-45.882987640172793</v>
      </c>
      <c r="T139">
        <v>94.000275952560997</v>
      </c>
      <c r="U139">
        <v>-2.7030067413446961</v>
      </c>
      <c r="V139">
        <v>-24.561106240376141</v>
      </c>
      <c r="W139">
        <v>47.846253030287009</v>
      </c>
      <c r="X139">
        <v>-37.036229821224516</v>
      </c>
      <c r="Y139">
        <v>10.706980728312402</v>
      </c>
      <c r="Z139">
        <v>2.2930445032898206E-4</v>
      </c>
      <c r="AA139">
        <v>679.8105091116887</v>
      </c>
      <c r="AB139">
        <v>-1947.9605844903194</v>
      </c>
      <c r="AC139">
        <v>2698.3858963275197</v>
      </c>
      <c r="AD139">
        <v>-1805.4172809225352</v>
      </c>
      <c r="AE139">
        <v>468.24231442812265</v>
      </c>
      <c r="AF139">
        <v>5.62</v>
      </c>
      <c r="AG139">
        <v>3600</v>
      </c>
      <c r="AH139">
        <v>1200</v>
      </c>
      <c r="AI139" s="107" t="s">
        <v>379</v>
      </c>
    </row>
    <row r="140" spans="1:35" x14ac:dyDescent="0.3">
      <c r="A140" s="14" t="s">
        <v>523</v>
      </c>
      <c r="B140" s="114" t="s">
        <v>378</v>
      </c>
      <c r="C140" s="107" t="str">
        <f t="shared" si="0"/>
        <v>SPECTRUM PMM 380,64HP 3881,97966101695V 53,3987341772152AMP</v>
      </c>
      <c r="D140">
        <v>15</v>
      </c>
      <c r="E140">
        <v>380.64000000000004</v>
      </c>
      <c r="F140">
        <v>3881.9796610169492</v>
      </c>
      <c r="G140">
        <v>53.398734177215175</v>
      </c>
      <c r="H140">
        <v>3600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6.0605609292324232</v>
      </c>
      <c r="O140">
        <v>48.602159930594567</v>
      </c>
      <c r="P140">
        <v>162.07526224243094</v>
      </c>
      <c r="Q140">
        <v>-240.3223028042149</v>
      </c>
      <c r="R140">
        <v>169.47496678098625</v>
      </c>
      <c r="S140">
        <v>-45.882987640172793</v>
      </c>
      <c r="T140">
        <v>94.000275952560997</v>
      </c>
      <c r="U140">
        <v>-2.7030067413446961</v>
      </c>
      <c r="V140">
        <v>-24.561106240376141</v>
      </c>
      <c r="W140">
        <v>47.846253030287009</v>
      </c>
      <c r="X140">
        <v>-37.036229821224516</v>
      </c>
      <c r="Y140">
        <v>10.706980728312402</v>
      </c>
      <c r="Z140">
        <v>2.2930445032898206E-4</v>
      </c>
      <c r="AA140">
        <v>679.8105091116887</v>
      </c>
      <c r="AB140">
        <v>-1947.9605844903194</v>
      </c>
      <c r="AC140">
        <v>2698.3858963275197</v>
      </c>
      <c r="AD140">
        <v>-1805.4172809225352</v>
      </c>
      <c r="AE140">
        <v>468.24231442812265</v>
      </c>
      <c r="AF140">
        <v>5.62</v>
      </c>
      <c r="AG140">
        <v>3600</v>
      </c>
      <c r="AH140">
        <v>1200</v>
      </c>
      <c r="AI140" s="107" t="s">
        <v>379</v>
      </c>
    </row>
    <row r="141" spans="1:35" x14ac:dyDescent="0.3">
      <c r="A141" s="14" t="s">
        <v>523</v>
      </c>
      <c r="B141" s="114" t="s">
        <v>378</v>
      </c>
      <c r="C141" s="107" t="str">
        <f t="shared" si="0"/>
        <v>SPECTRUM PMM 428,22HP 3924,97627118644V 59,4154929577465AMP</v>
      </c>
      <c r="D141">
        <v>16.399999999999999</v>
      </c>
      <c r="E141">
        <v>428.22000000000008</v>
      </c>
      <c r="F141">
        <v>3924.9762711864405</v>
      </c>
      <c r="G141">
        <v>59.41549295774648</v>
      </c>
      <c r="H141">
        <v>3600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6.0605609292324232</v>
      </c>
      <c r="O141">
        <v>48.602159930594567</v>
      </c>
      <c r="P141">
        <v>162.07526224243094</v>
      </c>
      <c r="Q141">
        <v>-240.3223028042149</v>
      </c>
      <c r="R141">
        <v>169.47496678098625</v>
      </c>
      <c r="S141">
        <v>-45.882987640172793</v>
      </c>
      <c r="T141">
        <v>94.000275952560997</v>
      </c>
      <c r="U141">
        <v>-2.7030067413446961</v>
      </c>
      <c r="V141">
        <v>-24.561106240376141</v>
      </c>
      <c r="W141">
        <v>47.846253030287009</v>
      </c>
      <c r="X141">
        <v>-37.036229821224516</v>
      </c>
      <c r="Y141">
        <v>10.706980728312402</v>
      </c>
      <c r="Z141">
        <v>2.2930445032898206E-4</v>
      </c>
      <c r="AA141">
        <v>679.8105091116887</v>
      </c>
      <c r="AB141">
        <v>-1947.9605844903194</v>
      </c>
      <c r="AC141">
        <v>2698.3858963275197</v>
      </c>
      <c r="AD141">
        <v>-1805.4172809225352</v>
      </c>
      <c r="AE141">
        <v>468.24231442812265</v>
      </c>
      <c r="AF141">
        <v>5.62</v>
      </c>
      <c r="AG141">
        <v>3600</v>
      </c>
      <c r="AH141">
        <v>1200</v>
      </c>
      <c r="AI141" s="107" t="s">
        <v>379</v>
      </c>
    </row>
    <row r="142" spans="1:35" x14ac:dyDescent="0.3">
      <c r="A142" s="14" t="s">
        <v>523</v>
      </c>
      <c r="B142" s="114" t="s">
        <v>378</v>
      </c>
      <c r="C142" s="107" t="str">
        <f t="shared" si="0"/>
        <v>SPECTRUM PMM 475,8HP 3869,69491525424V 66,9603174603175AMP</v>
      </c>
      <c r="D142">
        <v>17.899999999999999</v>
      </c>
      <c r="E142">
        <v>475.8</v>
      </c>
      <c r="F142">
        <v>3869.694915254237</v>
      </c>
      <c r="G142">
        <v>66.960317460317455</v>
      </c>
      <c r="H142">
        <v>3600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6.0605609292324232</v>
      </c>
      <c r="O142">
        <v>48.602159930594567</v>
      </c>
      <c r="P142">
        <v>162.07526224243094</v>
      </c>
      <c r="Q142">
        <v>-240.3223028042149</v>
      </c>
      <c r="R142">
        <v>169.47496678098625</v>
      </c>
      <c r="S142">
        <v>-45.882987640172793</v>
      </c>
      <c r="T142">
        <v>94.000275952560997</v>
      </c>
      <c r="U142">
        <v>-2.7030067413446961</v>
      </c>
      <c r="V142">
        <v>-24.561106240376141</v>
      </c>
      <c r="W142">
        <v>47.846253030287009</v>
      </c>
      <c r="X142">
        <v>-37.036229821224516</v>
      </c>
      <c r="Y142">
        <v>10.706980728312402</v>
      </c>
      <c r="Z142">
        <v>2.2930445032898206E-4</v>
      </c>
      <c r="AA142">
        <v>679.8105091116887</v>
      </c>
      <c r="AB142">
        <v>-1947.9605844903194</v>
      </c>
      <c r="AC142">
        <v>2698.3858963275197</v>
      </c>
      <c r="AD142">
        <v>-1805.4172809225352</v>
      </c>
      <c r="AE142">
        <v>468.24231442812265</v>
      </c>
      <c r="AF142">
        <v>5.62</v>
      </c>
      <c r="AG142">
        <v>3600</v>
      </c>
      <c r="AH142">
        <v>1200</v>
      </c>
      <c r="AI142" s="107" t="s">
        <v>379</v>
      </c>
    </row>
    <row r="143" spans="1:35" x14ac:dyDescent="0.3">
      <c r="A143" s="14" t="s">
        <v>523</v>
      </c>
      <c r="B143" s="114" t="s">
        <v>378</v>
      </c>
      <c r="C143" s="107" t="str">
        <f t="shared" si="0"/>
        <v>SPECTRUM PMM 523,38HP 3986,4V 71,5AMP</v>
      </c>
      <c r="D143">
        <v>19.399999999999999</v>
      </c>
      <c r="E143">
        <v>523.38</v>
      </c>
      <c r="F143">
        <v>3986.4</v>
      </c>
      <c r="G143">
        <v>71.499999999999986</v>
      </c>
      <c r="H143">
        <v>3600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6.0605609292324232</v>
      </c>
      <c r="O143">
        <v>48.602159930594567</v>
      </c>
      <c r="P143">
        <v>162.07526224243094</v>
      </c>
      <c r="Q143">
        <v>-240.3223028042149</v>
      </c>
      <c r="R143">
        <v>169.47496678098625</v>
      </c>
      <c r="S143">
        <v>-45.882987640172793</v>
      </c>
      <c r="T143">
        <v>94.000275952560997</v>
      </c>
      <c r="U143">
        <v>-2.7030067413446961</v>
      </c>
      <c r="V143">
        <v>-24.561106240376141</v>
      </c>
      <c r="W143">
        <v>47.846253030287009</v>
      </c>
      <c r="X143">
        <v>-37.036229821224516</v>
      </c>
      <c r="Y143">
        <v>10.706980728312402</v>
      </c>
      <c r="Z143">
        <v>2.2930445032898206E-4</v>
      </c>
      <c r="AA143">
        <v>679.8105091116887</v>
      </c>
      <c r="AB143">
        <v>-1947.9605844903194</v>
      </c>
      <c r="AC143">
        <v>2698.3858963275197</v>
      </c>
      <c r="AD143">
        <v>-1805.4172809225352</v>
      </c>
      <c r="AE143">
        <v>468.24231442812265</v>
      </c>
      <c r="AF143">
        <v>5.62</v>
      </c>
      <c r="AG143">
        <v>3600</v>
      </c>
      <c r="AH143">
        <v>1200</v>
      </c>
      <c r="AI143" s="107" t="s">
        <v>379</v>
      </c>
    </row>
    <row r="144" spans="1:35" x14ac:dyDescent="0.3">
      <c r="A144" s="14" t="s">
        <v>523</v>
      </c>
      <c r="B144" s="114" t="s">
        <v>378</v>
      </c>
      <c r="C144" s="107" t="str">
        <f t="shared" si="0"/>
        <v>SPECTRUM PMM 570,96HP 3759,13220338983V 82,7156862745098AMP</v>
      </c>
      <c r="D144">
        <v>20.8</v>
      </c>
      <c r="E144">
        <v>570.96</v>
      </c>
      <c r="F144">
        <v>3759.1322033898305</v>
      </c>
      <c r="G144">
        <v>82.715686274509807</v>
      </c>
      <c r="H144">
        <v>3600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6.0605609292324232</v>
      </c>
      <c r="O144">
        <v>48.602159930594567</v>
      </c>
      <c r="P144">
        <v>162.07526224243094</v>
      </c>
      <c r="Q144">
        <v>-240.3223028042149</v>
      </c>
      <c r="R144">
        <v>169.47496678098625</v>
      </c>
      <c r="S144">
        <v>-45.882987640172793</v>
      </c>
      <c r="T144">
        <v>94.000275952560997</v>
      </c>
      <c r="U144">
        <v>-2.7030067413446961</v>
      </c>
      <c r="V144">
        <v>-24.561106240376141</v>
      </c>
      <c r="W144">
        <v>47.846253030287009</v>
      </c>
      <c r="X144">
        <v>-37.036229821224516</v>
      </c>
      <c r="Y144">
        <v>10.706980728312402</v>
      </c>
      <c r="Z144">
        <v>2.2930445032898206E-4</v>
      </c>
      <c r="AA144">
        <v>679.8105091116887</v>
      </c>
      <c r="AB144">
        <v>-1947.9605844903194</v>
      </c>
      <c r="AC144">
        <v>2698.3858963275197</v>
      </c>
      <c r="AD144">
        <v>-1805.4172809225352</v>
      </c>
      <c r="AE144">
        <v>468.24231442812265</v>
      </c>
      <c r="AF144">
        <v>5.62</v>
      </c>
      <c r="AG144">
        <v>3600</v>
      </c>
      <c r="AH144">
        <v>1200</v>
      </c>
      <c r="AI144" s="107" t="s">
        <v>379</v>
      </c>
    </row>
    <row r="145" spans="1:35" x14ac:dyDescent="0.3">
      <c r="A145" s="14" t="s">
        <v>523</v>
      </c>
      <c r="B145" s="114" t="s">
        <v>378</v>
      </c>
      <c r="C145" s="107" t="str">
        <f t="shared" si="0"/>
        <v>SPECTRUM PMM 618,54HP 3752,98983050847V 89,7553191489362AMP</v>
      </c>
      <c r="D145">
        <v>22.3</v>
      </c>
      <c r="E145">
        <v>618.54000000000008</v>
      </c>
      <c r="F145">
        <v>3752.9898305084744</v>
      </c>
      <c r="G145">
        <v>89.755319148936167</v>
      </c>
      <c r="H145">
        <v>3600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6.0605609292324232</v>
      </c>
      <c r="O145">
        <v>48.602159930594567</v>
      </c>
      <c r="P145">
        <v>162.07526224243094</v>
      </c>
      <c r="Q145">
        <v>-240.3223028042149</v>
      </c>
      <c r="R145">
        <v>169.47496678098625</v>
      </c>
      <c r="S145">
        <v>-45.882987640172793</v>
      </c>
      <c r="T145">
        <v>94.000275952560997</v>
      </c>
      <c r="U145">
        <v>-2.7030067413446961</v>
      </c>
      <c r="V145">
        <v>-24.561106240376141</v>
      </c>
      <c r="W145">
        <v>47.846253030287009</v>
      </c>
      <c r="X145">
        <v>-37.036229821224516</v>
      </c>
      <c r="Y145">
        <v>10.706980728312402</v>
      </c>
      <c r="Z145">
        <v>2.2930445032898206E-4</v>
      </c>
      <c r="AA145">
        <v>679.8105091116887</v>
      </c>
      <c r="AB145">
        <v>-1947.9605844903194</v>
      </c>
      <c r="AC145">
        <v>2698.3858963275197</v>
      </c>
      <c r="AD145">
        <v>-1805.4172809225352</v>
      </c>
      <c r="AE145">
        <v>468.24231442812265</v>
      </c>
      <c r="AF145">
        <v>5.62</v>
      </c>
      <c r="AG145">
        <v>3600</v>
      </c>
      <c r="AH145">
        <v>1200</v>
      </c>
      <c r="AI145" s="107" t="s">
        <v>379</v>
      </c>
    </row>
    <row r="146" spans="1:35" x14ac:dyDescent="0.3">
      <c r="A146" s="14" t="s">
        <v>523</v>
      </c>
      <c r="B146" s="114" t="s">
        <v>378</v>
      </c>
      <c r="C146" s="107" t="str">
        <f t="shared" si="0"/>
        <v>SPECTRUM PMM 666,12HP 3752,98983050847V 89,7553191489362AMP</v>
      </c>
      <c r="D146">
        <v>23.8</v>
      </c>
      <c r="E146">
        <v>666.12</v>
      </c>
      <c r="F146">
        <v>3752.9898305084744</v>
      </c>
      <c r="G146">
        <v>89.755319148936167</v>
      </c>
      <c r="H146">
        <v>3600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6.0605609292324232</v>
      </c>
      <c r="O146">
        <v>48.602159930594567</v>
      </c>
      <c r="P146">
        <v>162.07526224243094</v>
      </c>
      <c r="Q146">
        <v>-240.3223028042149</v>
      </c>
      <c r="R146">
        <v>169.47496678098625</v>
      </c>
      <c r="S146">
        <v>-45.882987640172793</v>
      </c>
      <c r="T146">
        <v>94.000275952560997</v>
      </c>
      <c r="U146">
        <v>-2.7030067413446961</v>
      </c>
      <c r="V146">
        <v>-24.561106240376141</v>
      </c>
      <c r="W146">
        <v>47.846253030287009</v>
      </c>
      <c r="X146">
        <v>-37.036229821224516</v>
      </c>
      <c r="Y146">
        <v>10.706980728312402</v>
      </c>
      <c r="Z146">
        <v>2.2930445032898206E-4</v>
      </c>
      <c r="AA146">
        <v>679.8105091116887</v>
      </c>
      <c r="AB146">
        <v>-1947.9605844903194</v>
      </c>
      <c r="AC146">
        <v>2698.3858963275197</v>
      </c>
      <c r="AD146">
        <v>-1805.4172809225352</v>
      </c>
      <c r="AE146">
        <v>468.24231442812265</v>
      </c>
      <c r="AF146">
        <v>5.62</v>
      </c>
      <c r="AG146">
        <v>3600</v>
      </c>
      <c r="AH146">
        <v>1200</v>
      </c>
      <c r="AI146" s="107" t="s">
        <v>379</v>
      </c>
    </row>
    <row r="147" spans="1:35" x14ac:dyDescent="0.3">
      <c r="A147" s="14" t="s">
        <v>523</v>
      </c>
      <c r="B147" s="114" t="s">
        <v>378</v>
      </c>
      <c r="C147" s="107" t="str">
        <f t="shared" si="0"/>
        <v>SPECTRUM PMM 713,7HP 3961,83050847458V 98,1046511627907AMP</v>
      </c>
      <c r="D147">
        <v>25.2</v>
      </c>
      <c r="E147">
        <v>713.7</v>
      </c>
      <c r="F147">
        <v>3961.8305084745762</v>
      </c>
      <c r="G147">
        <v>98.104651162790674</v>
      </c>
      <c r="H147">
        <v>3600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6.0605609292324232</v>
      </c>
      <c r="O147">
        <v>48.602159930594567</v>
      </c>
      <c r="P147">
        <v>162.07526224243094</v>
      </c>
      <c r="Q147">
        <v>-240.3223028042149</v>
      </c>
      <c r="R147">
        <v>169.47496678098625</v>
      </c>
      <c r="S147">
        <v>-45.882987640172793</v>
      </c>
      <c r="T147">
        <v>94.000275952560997</v>
      </c>
      <c r="U147">
        <v>-2.7030067413446961</v>
      </c>
      <c r="V147">
        <v>-24.561106240376141</v>
      </c>
      <c r="W147">
        <v>47.846253030287009</v>
      </c>
      <c r="X147">
        <v>-37.036229821224516</v>
      </c>
      <c r="Y147">
        <v>10.706980728312402</v>
      </c>
      <c r="Z147">
        <v>2.2930445032898206E-4</v>
      </c>
      <c r="AA147">
        <v>679.8105091116887</v>
      </c>
      <c r="AB147">
        <v>-1947.9605844903194</v>
      </c>
      <c r="AC147">
        <v>2698.3858963275197</v>
      </c>
      <c r="AD147">
        <v>-1805.4172809225352</v>
      </c>
      <c r="AE147">
        <v>468.24231442812265</v>
      </c>
      <c r="AF147">
        <v>5.62</v>
      </c>
      <c r="AG147">
        <v>3600</v>
      </c>
      <c r="AH147">
        <v>1200</v>
      </c>
      <c r="AI147" s="107" t="s">
        <v>379</v>
      </c>
    </row>
    <row r="148" spans="1:35" x14ac:dyDescent="0.3">
      <c r="A148" s="14" t="s">
        <v>523</v>
      </c>
      <c r="B148" s="114" t="s">
        <v>378</v>
      </c>
      <c r="C148" s="107" t="str">
        <f t="shared" si="0"/>
        <v>SPECTRUM PMM 761,28HP 3832,8406779661V 108,166666666667AMP</v>
      </c>
      <c r="D148">
        <v>26.7</v>
      </c>
      <c r="E148">
        <v>761.28000000000009</v>
      </c>
      <c r="F148">
        <v>3832.8406779661018</v>
      </c>
      <c r="G148">
        <v>108.16666666666666</v>
      </c>
      <c r="H148">
        <v>3600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6.0605609292324232</v>
      </c>
      <c r="O148">
        <v>48.602159930594567</v>
      </c>
      <c r="P148">
        <v>162.07526224243094</v>
      </c>
      <c r="Q148">
        <v>-240.3223028042149</v>
      </c>
      <c r="R148">
        <v>169.47496678098625</v>
      </c>
      <c r="S148">
        <v>-45.882987640172793</v>
      </c>
      <c r="T148">
        <v>94.000275952560997</v>
      </c>
      <c r="U148">
        <v>-2.7030067413446961</v>
      </c>
      <c r="V148">
        <v>-24.561106240376141</v>
      </c>
      <c r="W148">
        <v>47.846253030287009</v>
      </c>
      <c r="X148">
        <v>-37.036229821224516</v>
      </c>
      <c r="Y148">
        <v>10.706980728312402</v>
      </c>
      <c r="Z148">
        <v>2.2930445032898206E-4</v>
      </c>
      <c r="AA148">
        <v>679.8105091116887</v>
      </c>
      <c r="AB148">
        <v>-1947.9605844903194</v>
      </c>
      <c r="AC148">
        <v>2698.3858963275197</v>
      </c>
      <c r="AD148">
        <v>-1805.4172809225352</v>
      </c>
      <c r="AE148">
        <v>468.24231442812265</v>
      </c>
      <c r="AF148">
        <v>5.62</v>
      </c>
      <c r="AG148">
        <v>3600</v>
      </c>
      <c r="AH148">
        <v>1200</v>
      </c>
      <c r="AI148" s="107" t="s">
        <v>379</v>
      </c>
    </row>
    <row r="149" spans="1:35" x14ac:dyDescent="0.3">
      <c r="A149" s="14" t="s">
        <v>523</v>
      </c>
      <c r="B149" s="114" t="s">
        <v>378</v>
      </c>
      <c r="C149" s="107" t="str">
        <f t="shared" si="0"/>
        <v>SPECTRUM PMM 808,86HP 3654,71186440678V 120,528571428571AMP</v>
      </c>
      <c r="D149">
        <v>28.2</v>
      </c>
      <c r="E149">
        <v>808.86000000000013</v>
      </c>
      <c r="F149">
        <v>3654.7118644067796</v>
      </c>
      <c r="G149">
        <v>120.52857142857142</v>
      </c>
      <c r="H149">
        <v>3600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6.0605609292324232</v>
      </c>
      <c r="O149">
        <v>48.602159930594567</v>
      </c>
      <c r="P149">
        <v>162.07526224243094</v>
      </c>
      <c r="Q149">
        <v>-240.3223028042149</v>
      </c>
      <c r="R149">
        <v>169.47496678098625</v>
      </c>
      <c r="S149">
        <v>-45.882987640172793</v>
      </c>
      <c r="T149">
        <v>94.000275952560997</v>
      </c>
      <c r="U149">
        <v>-2.7030067413446961</v>
      </c>
      <c r="V149">
        <v>-24.561106240376141</v>
      </c>
      <c r="W149">
        <v>47.846253030287009</v>
      </c>
      <c r="X149">
        <v>-37.036229821224516</v>
      </c>
      <c r="Y149">
        <v>10.706980728312402</v>
      </c>
      <c r="Z149">
        <v>2.2930445032898206E-4</v>
      </c>
      <c r="AA149">
        <v>679.8105091116887</v>
      </c>
      <c r="AB149">
        <v>-1947.9605844903194</v>
      </c>
      <c r="AC149">
        <v>2698.3858963275197</v>
      </c>
      <c r="AD149">
        <v>-1805.4172809225352</v>
      </c>
      <c r="AE149">
        <v>468.24231442812265</v>
      </c>
      <c r="AF149">
        <v>4.6059999999999999</v>
      </c>
      <c r="AG149">
        <v>3600</v>
      </c>
      <c r="AH149">
        <v>1200</v>
      </c>
      <c r="AI149" s="107" t="s">
        <v>379</v>
      </c>
    </row>
    <row r="150" spans="1:35" x14ac:dyDescent="0.3">
      <c r="A150" s="14" t="s">
        <v>523</v>
      </c>
      <c r="B150" s="114" t="s">
        <v>378</v>
      </c>
      <c r="C150" s="107" t="str">
        <f t="shared" si="0"/>
        <v>SPECTRUM PMM 856,44HP 3869,69491525424V 120,528571428571AMP</v>
      </c>
      <c r="D150">
        <v>29.6</v>
      </c>
      <c r="E150">
        <v>856.44000000000017</v>
      </c>
      <c r="F150">
        <v>3869.694915254237</v>
      </c>
      <c r="G150">
        <v>120.52857142857142</v>
      </c>
      <c r="H150">
        <v>3600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6.0605609292324232</v>
      </c>
      <c r="O150">
        <v>48.602159930594567</v>
      </c>
      <c r="P150">
        <v>162.07526224243094</v>
      </c>
      <c r="Q150">
        <v>-240.3223028042149</v>
      </c>
      <c r="R150">
        <v>169.47496678098625</v>
      </c>
      <c r="S150">
        <v>-45.882987640172793</v>
      </c>
      <c r="T150">
        <v>94.000275952560997</v>
      </c>
      <c r="U150">
        <v>-2.7030067413446961</v>
      </c>
      <c r="V150">
        <v>-24.561106240376141</v>
      </c>
      <c r="W150">
        <v>47.846253030287009</v>
      </c>
      <c r="X150">
        <v>-37.036229821224516</v>
      </c>
      <c r="Y150">
        <v>10.706980728312402</v>
      </c>
      <c r="Z150">
        <v>2.2930445032898206E-4</v>
      </c>
      <c r="AA150">
        <v>679.8105091116887</v>
      </c>
      <c r="AB150">
        <v>-1947.9605844903194</v>
      </c>
      <c r="AC150">
        <v>2698.3858963275197</v>
      </c>
      <c r="AD150">
        <v>-1805.4172809225352</v>
      </c>
      <c r="AE150">
        <v>468.24231442812265</v>
      </c>
      <c r="AF150">
        <v>4.6059999999999999</v>
      </c>
      <c r="AG150">
        <v>3600</v>
      </c>
      <c r="AH150">
        <v>1200</v>
      </c>
      <c r="AI150" s="107" t="s">
        <v>379</v>
      </c>
    </row>
    <row r="151" spans="1:35" x14ac:dyDescent="0.3">
      <c r="A151" s="14" t="s">
        <v>523</v>
      </c>
      <c r="B151" s="114" t="s">
        <v>378</v>
      </c>
      <c r="C151" s="107" t="str">
        <f t="shared" si="0"/>
        <v>SPECTRUM PMM 904,02HP 3617,85762711864V 136,08064516129AMP</v>
      </c>
      <c r="D151">
        <v>31.1</v>
      </c>
      <c r="E151">
        <v>904.02</v>
      </c>
      <c r="F151">
        <v>3617.8576271186439</v>
      </c>
      <c r="G151">
        <v>136.08064516129031</v>
      </c>
      <c r="H151">
        <v>3600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6.0605609292324232</v>
      </c>
      <c r="O151">
        <v>48.602159930594567</v>
      </c>
      <c r="P151">
        <v>162.07526224243094</v>
      </c>
      <c r="Q151">
        <v>-240.3223028042149</v>
      </c>
      <c r="R151">
        <v>169.47496678098625</v>
      </c>
      <c r="S151">
        <v>-45.882987640172793</v>
      </c>
      <c r="T151">
        <v>94.000275952560997</v>
      </c>
      <c r="U151">
        <v>-2.7030067413446961</v>
      </c>
      <c r="V151">
        <v>-24.561106240376141</v>
      </c>
      <c r="W151">
        <v>47.846253030287009</v>
      </c>
      <c r="X151">
        <v>-37.036229821224516</v>
      </c>
      <c r="Y151">
        <v>10.706980728312402</v>
      </c>
      <c r="Z151">
        <v>2.2930445032898206E-4</v>
      </c>
      <c r="AA151">
        <v>679.8105091116887</v>
      </c>
      <c r="AB151">
        <v>-1947.9605844903194</v>
      </c>
      <c r="AC151">
        <v>2698.3858963275197</v>
      </c>
      <c r="AD151">
        <v>-1805.4172809225352</v>
      </c>
      <c r="AE151">
        <v>468.24231442812265</v>
      </c>
      <c r="AF151">
        <v>4.6059999999999999</v>
      </c>
      <c r="AG151">
        <v>3600</v>
      </c>
      <c r="AH151">
        <v>1200</v>
      </c>
      <c r="AI151" s="107" t="s">
        <v>379</v>
      </c>
    </row>
    <row r="152" spans="1:35" x14ac:dyDescent="0.3">
      <c r="A152" s="14" t="s">
        <v>523</v>
      </c>
      <c r="B152" s="114" t="s">
        <v>378</v>
      </c>
      <c r="C152" s="107" t="str">
        <f t="shared" si="0"/>
        <v>SPECTRUM PMM 951,6HP 3808,27118644068V 136,08064516129AMP</v>
      </c>
      <c r="D152">
        <v>32.6</v>
      </c>
      <c r="E152">
        <v>951.6</v>
      </c>
      <c r="F152">
        <v>3808.2711864406779</v>
      </c>
      <c r="G152">
        <v>136.08064516129031</v>
      </c>
      <c r="H152">
        <v>3600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6.0605609292324232</v>
      </c>
      <c r="O152">
        <v>48.602159930594567</v>
      </c>
      <c r="P152">
        <v>162.07526224243094</v>
      </c>
      <c r="Q152">
        <v>-240.3223028042149</v>
      </c>
      <c r="R152">
        <v>169.47496678098625</v>
      </c>
      <c r="S152">
        <v>-45.882987640172793</v>
      </c>
      <c r="T152">
        <v>94.000275952560997</v>
      </c>
      <c r="U152">
        <v>-2.7030067413446961</v>
      </c>
      <c r="V152">
        <v>-24.561106240376141</v>
      </c>
      <c r="W152">
        <v>47.846253030287009</v>
      </c>
      <c r="X152">
        <v>-37.036229821224516</v>
      </c>
      <c r="Y152">
        <v>10.706980728312402</v>
      </c>
      <c r="Z152">
        <v>2.2930445032898206E-4</v>
      </c>
      <c r="AA152">
        <v>679.8105091116887</v>
      </c>
      <c r="AB152">
        <v>-1947.9605844903194</v>
      </c>
      <c r="AC152">
        <v>2698.3858963275197</v>
      </c>
      <c r="AD152">
        <v>-1805.4172809225352</v>
      </c>
      <c r="AE152">
        <v>468.24231442812265</v>
      </c>
      <c r="AF152">
        <v>4.6059999999999999</v>
      </c>
      <c r="AG152">
        <v>3600</v>
      </c>
      <c r="AH152">
        <v>1200</v>
      </c>
      <c r="AI152" s="107" t="s">
        <v>379</v>
      </c>
    </row>
    <row r="153" spans="1:35" x14ac:dyDescent="0.3">
      <c r="A153" s="14" t="s">
        <v>523</v>
      </c>
      <c r="B153" s="114" t="s">
        <v>378</v>
      </c>
      <c r="C153" s="107" t="str">
        <f t="shared" si="0"/>
        <v>SPECTRUM PMM 1000HP 3998,68474576271V 136,08064516129AMP</v>
      </c>
      <c r="D153">
        <v>34.1</v>
      </c>
      <c r="E153">
        <v>1000</v>
      </c>
      <c r="F153">
        <v>3998.6847457627118</v>
      </c>
      <c r="G153">
        <v>136.08064516129031</v>
      </c>
      <c r="H153">
        <v>3600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6.0605609292324232</v>
      </c>
      <c r="O153">
        <v>48.602159930594567</v>
      </c>
      <c r="P153">
        <v>162.07526224243094</v>
      </c>
      <c r="Q153">
        <v>-240.3223028042149</v>
      </c>
      <c r="R153">
        <v>169.47496678098625</v>
      </c>
      <c r="S153">
        <v>-45.882987640172793</v>
      </c>
      <c r="T153">
        <v>94.000275952560997</v>
      </c>
      <c r="U153">
        <v>-2.7030067413446961</v>
      </c>
      <c r="V153">
        <v>-24.561106240376141</v>
      </c>
      <c r="W153">
        <v>47.846253030287009</v>
      </c>
      <c r="X153">
        <v>-37.036229821224516</v>
      </c>
      <c r="Y153">
        <v>10.706980728312402</v>
      </c>
      <c r="Z153">
        <v>2.2930445032898206E-4</v>
      </c>
      <c r="AA153">
        <v>679.8105091116887</v>
      </c>
      <c r="AB153">
        <v>-1947.9605844903194</v>
      </c>
      <c r="AC153">
        <v>2698.3858963275197</v>
      </c>
      <c r="AD153">
        <v>-1805.4172809225352</v>
      </c>
      <c r="AE153">
        <v>468.24231442812265</v>
      </c>
      <c r="AF153">
        <v>4.6059999999999999</v>
      </c>
      <c r="AG153">
        <v>3600</v>
      </c>
      <c r="AH153">
        <v>1200</v>
      </c>
      <c r="AI153" s="107" t="s">
        <v>379</v>
      </c>
    </row>
    <row r="154" spans="1:35" x14ac:dyDescent="0.3">
      <c r="A154" s="14" t="s">
        <v>523</v>
      </c>
      <c r="B154" s="114" t="s">
        <v>378</v>
      </c>
      <c r="C154" s="107" t="str">
        <f t="shared" si="0"/>
        <v>SPECTRUM PMM 256HP 3520V 31AMP</v>
      </c>
      <c r="D154">
        <v>13.5</v>
      </c>
      <c r="E154">
        <v>256</v>
      </c>
      <c r="F154">
        <v>3520</v>
      </c>
      <c r="G154">
        <v>31</v>
      </c>
      <c r="H154">
        <v>3600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6.0605609292324232</v>
      </c>
      <c r="O154">
        <v>48.602159930594567</v>
      </c>
      <c r="P154">
        <v>162.07526224243094</v>
      </c>
      <c r="Q154">
        <v>-240.3223028042149</v>
      </c>
      <c r="R154">
        <v>169.47496678098625</v>
      </c>
      <c r="S154">
        <v>-45.882987640172793</v>
      </c>
      <c r="T154">
        <v>94.000275952560997</v>
      </c>
      <c r="U154">
        <v>-2.7030067413446961</v>
      </c>
      <c r="V154">
        <v>-24.561106240376141</v>
      </c>
      <c r="W154">
        <v>47.846253030287009</v>
      </c>
      <c r="X154">
        <v>-37.036229821224516</v>
      </c>
      <c r="Y154">
        <v>10.706980728312402</v>
      </c>
      <c r="Z154">
        <v>2.2930445032898206E-4</v>
      </c>
      <c r="AA154">
        <v>679.8105091116887</v>
      </c>
      <c r="AB154">
        <v>-1947.9605844903194</v>
      </c>
      <c r="AC154">
        <v>2698.3858963275197</v>
      </c>
      <c r="AD154">
        <v>-1805.4172809225352</v>
      </c>
      <c r="AE154">
        <v>468.24231442812265</v>
      </c>
      <c r="AF154">
        <v>5.62</v>
      </c>
      <c r="AG154">
        <v>3600</v>
      </c>
      <c r="AH154">
        <v>1200</v>
      </c>
      <c r="AI154" s="107" t="s">
        <v>379</v>
      </c>
    </row>
    <row r="155" spans="1:35" x14ac:dyDescent="0.3">
      <c r="A155" s="14" t="s">
        <v>523</v>
      </c>
      <c r="B155" s="114" t="s">
        <v>378</v>
      </c>
      <c r="C155" s="107" t="str">
        <f t="shared" si="0"/>
        <v>SPECTRUM PMM 238HP 3778V 34,3AMP</v>
      </c>
      <c r="D155">
        <v>13.5</v>
      </c>
      <c r="E155">
        <v>238</v>
      </c>
      <c r="F155">
        <v>3778</v>
      </c>
      <c r="G155">
        <v>34.299999999999997</v>
      </c>
      <c r="H155">
        <v>3600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6.0605609292324232</v>
      </c>
      <c r="O155">
        <v>48.602159930594567</v>
      </c>
      <c r="P155">
        <v>162.07526224243094</v>
      </c>
      <c r="Q155">
        <v>-240.3223028042149</v>
      </c>
      <c r="R155">
        <v>169.47496678098625</v>
      </c>
      <c r="S155">
        <v>-45.882987640172793</v>
      </c>
      <c r="T155">
        <v>94.000275952560997</v>
      </c>
      <c r="U155">
        <v>-2.7030067413446961</v>
      </c>
      <c r="V155">
        <v>-24.561106240376141</v>
      </c>
      <c r="W155">
        <v>47.846253030287009</v>
      </c>
      <c r="X155">
        <v>-37.036229821224516</v>
      </c>
      <c r="Y155">
        <v>10.706980728312402</v>
      </c>
      <c r="Z155">
        <v>2.2930445032898206E-4</v>
      </c>
      <c r="AA155">
        <v>679.8105091116887</v>
      </c>
      <c r="AB155">
        <v>-1947.9605844903194</v>
      </c>
      <c r="AC155">
        <v>2698.3858963275197</v>
      </c>
      <c r="AD155">
        <v>-1805.4172809225352</v>
      </c>
      <c r="AE155">
        <v>468.24231442812265</v>
      </c>
      <c r="AF155">
        <v>5.62</v>
      </c>
      <c r="AG155">
        <v>3600</v>
      </c>
      <c r="AH155">
        <v>1200</v>
      </c>
      <c r="AI155" s="107" t="s">
        <v>379</v>
      </c>
    </row>
    <row r="156" spans="1:35" x14ac:dyDescent="0.3">
      <c r="A156" s="14" t="s">
        <v>523</v>
      </c>
      <c r="B156" s="114" t="s">
        <v>378</v>
      </c>
      <c r="C156" s="107" t="str">
        <f t="shared" si="0"/>
        <v>SPECTRUM PMM 333,06HP 3569V 50,3AMP</v>
      </c>
      <c r="D156">
        <v>13.5</v>
      </c>
      <c r="E156">
        <v>333.06</v>
      </c>
      <c r="F156">
        <v>3569</v>
      </c>
      <c r="G156">
        <v>50.3</v>
      </c>
      <c r="H156">
        <v>3600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6.0605609292324232</v>
      </c>
      <c r="O156">
        <v>48.602159930594567</v>
      </c>
      <c r="P156">
        <v>162.07526224243094</v>
      </c>
      <c r="Q156">
        <v>-240.3223028042149</v>
      </c>
      <c r="R156">
        <v>169.47496678098625</v>
      </c>
      <c r="S156">
        <v>-45.882987640172793</v>
      </c>
      <c r="T156">
        <v>94.000275952560997</v>
      </c>
      <c r="U156">
        <v>-2.7030067413446961</v>
      </c>
      <c r="V156">
        <v>-24.561106240376141</v>
      </c>
      <c r="W156">
        <v>47.846253030287009</v>
      </c>
      <c r="X156">
        <v>-37.036229821224516</v>
      </c>
      <c r="Y156">
        <v>10.706980728312402</v>
      </c>
      <c r="Z156">
        <v>2.2930445032898206E-4</v>
      </c>
      <c r="AA156">
        <v>679.8105091116887</v>
      </c>
      <c r="AB156">
        <v>-1947.9605844903194</v>
      </c>
      <c r="AC156">
        <v>2698.3858963275197</v>
      </c>
      <c r="AD156">
        <v>-1805.4172809225352</v>
      </c>
      <c r="AE156">
        <v>468.24231442812265</v>
      </c>
      <c r="AF156">
        <v>5.62</v>
      </c>
      <c r="AG156">
        <v>3600</v>
      </c>
      <c r="AH156">
        <v>1200</v>
      </c>
      <c r="AI156" s="107" t="s">
        <v>379</v>
      </c>
    </row>
    <row r="157" spans="1:35" x14ac:dyDescent="0.3">
      <c r="A157" t="s">
        <v>59</v>
      </c>
      <c r="B157" s="114">
        <v>460</v>
      </c>
      <c r="C157" s="107" t="s">
        <v>380</v>
      </c>
      <c r="D157">
        <v>8.1</v>
      </c>
      <c r="E157">
        <v>51</v>
      </c>
      <c r="F157">
        <v>1480</v>
      </c>
      <c r="G157">
        <v>16.899999999999999</v>
      </c>
      <c r="H157" s="102">
        <v>3600</v>
      </c>
      <c r="I157">
        <v>0</v>
      </c>
      <c r="J157">
        <v>0</v>
      </c>
      <c r="K157">
        <v>0</v>
      </c>
      <c r="L157">
        <v>0</v>
      </c>
      <c r="M157">
        <v>0</v>
      </c>
      <c r="N157" s="103">
        <v>1.57</v>
      </c>
      <c r="O157" s="103">
        <v>98.4</v>
      </c>
      <c r="P157" s="103">
        <v>2.9399999999999999E-2</v>
      </c>
      <c r="Q157" s="103">
        <v>1.7600000000000001E-5</v>
      </c>
      <c r="R157" s="103">
        <v>1.3200000000000001E-8</v>
      </c>
      <c r="S157" s="103">
        <v>-3.9300000000000003E-11</v>
      </c>
      <c r="T157" s="103">
        <v>93.8</v>
      </c>
      <c r="U157" s="103">
        <v>-5.64</v>
      </c>
      <c r="V157" s="103">
        <v>108</v>
      </c>
      <c r="W157" s="103">
        <v>-346</v>
      </c>
      <c r="X157" s="103">
        <v>459</v>
      </c>
      <c r="Y157" s="103">
        <v>-289</v>
      </c>
      <c r="Z157" s="103">
        <v>0.745</v>
      </c>
      <c r="AA157" s="103">
        <v>1.87</v>
      </c>
      <c r="AB157" s="103">
        <v>-6.8</v>
      </c>
      <c r="AC157" s="103">
        <v>12.9</v>
      </c>
      <c r="AD157" s="103">
        <v>-13.6</v>
      </c>
      <c r="AE157" s="103">
        <v>7.41</v>
      </c>
      <c r="AF157">
        <v>4.5999999999999996</v>
      </c>
      <c r="AG157">
        <v>3600</v>
      </c>
    </row>
    <row r="158" spans="1:35" x14ac:dyDescent="0.3">
      <c r="A158" t="s">
        <v>59</v>
      </c>
      <c r="B158" s="114">
        <v>460</v>
      </c>
      <c r="C158" s="107" t="s">
        <v>381</v>
      </c>
      <c r="D158">
        <v>9.5</v>
      </c>
      <c r="E158">
        <v>64</v>
      </c>
      <c r="F158">
        <v>1840</v>
      </c>
      <c r="G158">
        <v>16.899999999999999</v>
      </c>
      <c r="H158" s="102">
        <v>3600</v>
      </c>
      <c r="I158">
        <v>0</v>
      </c>
      <c r="J158">
        <v>0</v>
      </c>
      <c r="K158">
        <v>0</v>
      </c>
      <c r="L158">
        <v>0</v>
      </c>
      <c r="M158">
        <v>0</v>
      </c>
      <c r="N158" s="103">
        <v>1.57</v>
      </c>
      <c r="O158" s="103">
        <v>98.4</v>
      </c>
      <c r="P158" s="103">
        <v>2.9399999999999999E-2</v>
      </c>
      <c r="Q158" s="103">
        <v>1.7600000000000001E-5</v>
      </c>
      <c r="R158" s="103">
        <v>1.3200000000000001E-8</v>
      </c>
      <c r="S158" s="103">
        <v>-3.9300000000000003E-11</v>
      </c>
      <c r="T158" s="103">
        <v>93.6</v>
      </c>
      <c r="U158" s="103">
        <v>-5.62</v>
      </c>
      <c r="V158" s="103">
        <v>107</v>
      </c>
      <c r="W158" s="103">
        <v>-345</v>
      </c>
      <c r="X158" s="103">
        <v>458</v>
      </c>
      <c r="Y158" s="103">
        <v>-288</v>
      </c>
      <c r="Z158" s="103">
        <v>0.74399999999999999</v>
      </c>
      <c r="AA158" s="103">
        <v>1.97</v>
      </c>
      <c r="AB158" s="103">
        <v>-7.37</v>
      </c>
      <c r="AC158" s="103">
        <v>14.5</v>
      </c>
      <c r="AD158" s="103">
        <v>-15.6</v>
      </c>
      <c r="AE158" s="103">
        <v>8.69</v>
      </c>
      <c r="AF158">
        <v>4.5999999999999996</v>
      </c>
      <c r="AG158">
        <v>3600</v>
      </c>
    </row>
    <row r="159" spans="1:35" x14ac:dyDescent="0.3">
      <c r="A159" t="s">
        <v>59</v>
      </c>
      <c r="B159" s="114">
        <v>460</v>
      </c>
      <c r="C159" s="107" t="s">
        <v>382</v>
      </c>
      <c r="D159">
        <v>10.8</v>
      </c>
      <c r="E159">
        <v>80</v>
      </c>
      <c r="F159">
        <v>2220</v>
      </c>
      <c r="G159">
        <v>17.5</v>
      </c>
      <c r="H159" s="102">
        <v>3600</v>
      </c>
      <c r="I159">
        <v>0</v>
      </c>
      <c r="J159">
        <v>0</v>
      </c>
      <c r="K159">
        <v>0</v>
      </c>
      <c r="L159">
        <v>0</v>
      </c>
      <c r="M159">
        <v>0</v>
      </c>
      <c r="N159" s="103">
        <v>1.57</v>
      </c>
      <c r="O159" s="103">
        <v>98.4</v>
      </c>
      <c r="P159" s="103">
        <v>2.9399999999999999E-2</v>
      </c>
      <c r="Q159" s="103">
        <v>1.7600000000000001E-5</v>
      </c>
      <c r="R159" s="103">
        <v>1.31E-8</v>
      </c>
      <c r="S159" s="103">
        <v>-1.7599999999999999E-11</v>
      </c>
      <c r="T159" s="103">
        <v>93.6</v>
      </c>
      <c r="U159" s="103">
        <v>-5.62</v>
      </c>
      <c r="V159" s="103">
        <v>107</v>
      </c>
      <c r="W159" s="103">
        <v>-345</v>
      </c>
      <c r="X159" s="103">
        <v>458</v>
      </c>
      <c r="Y159" s="103">
        <v>-288</v>
      </c>
      <c r="Z159" s="103">
        <v>0.74399999999999999</v>
      </c>
      <c r="AA159" s="103">
        <v>1.97</v>
      </c>
      <c r="AB159" s="103">
        <v>-7.37</v>
      </c>
      <c r="AC159" s="103">
        <v>14.5</v>
      </c>
      <c r="AD159" s="103">
        <v>-15.6</v>
      </c>
      <c r="AE159" s="103">
        <v>8.69</v>
      </c>
      <c r="AF159">
        <v>4.5999999999999996</v>
      </c>
      <c r="AG159">
        <v>3600</v>
      </c>
    </row>
    <row r="160" spans="1:35" x14ac:dyDescent="0.3">
      <c r="A160" t="s">
        <v>59</v>
      </c>
      <c r="B160" s="114">
        <v>460</v>
      </c>
      <c r="C160" s="107" t="s">
        <v>383</v>
      </c>
      <c r="D160">
        <v>12.2</v>
      </c>
      <c r="E160">
        <v>100</v>
      </c>
      <c r="F160">
        <v>2630</v>
      </c>
      <c r="G160">
        <v>18.899999999999999</v>
      </c>
      <c r="H160" s="102">
        <v>3600</v>
      </c>
      <c r="I160">
        <v>0</v>
      </c>
      <c r="J160">
        <v>0</v>
      </c>
      <c r="K160">
        <v>0</v>
      </c>
      <c r="L160">
        <v>0</v>
      </c>
      <c r="M160">
        <v>0</v>
      </c>
      <c r="N160" s="103">
        <v>1.57</v>
      </c>
      <c r="O160" s="103">
        <v>98.4</v>
      </c>
      <c r="P160" s="103">
        <v>2.9399999999999999E-2</v>
      </c>
      <c r="Q160" s="103">
        <v>1.7600000000000001E-5</v>
      </c>
      <c r="R160" s="103">
        <v>1.3200000000000001E-8</v>
      </c>
      <c r="S160" s="103">
        <v>-3.9300000000000003E-11</v>
      </c>
      <c r="T160" s="103">
        <v>93.5</v>
      </c>
      <c r="U160" s="103">
        <v>-5.62</v>
      </c>
      <c r="V160" s="103">
        <v>107</v>
      </c>
      <c r="W160" s="103">
        <v>-345</v>
      </c>
      <c r="X160" s="103">
        <v>457</v>
      </c>
      <c r="Y160" s="103">
        <v>-288</v>
      </c>
      <c r="Z160" s="103">
        <v>0.76500000000000001</v>
      </c>
      <c r="AA160" s="103">
        <v>1.62</v>
      </c>
      <c r="AB160" s="103">
        <v>-5.28</v>
      </c>
      <c r="AC160" s="103">
        <v>8.99</v>
      </c>
      <c r="AD160" s="103">
        <v>-8.43</v>
      </c>
      <c r="AE160" s="103">
        <v>4.09</v>
      </c>
      <c r="AF160">
        <v>4.5999999999999996</v>
      </c>
      <c r="AG160">
        <v>3600</v>
      </c>
    </row>
    <row r="161" spans="1:33" x14ac:dyDescent="0.3">
      <c r="A161" t="s">
        <v>59</v>
      </c>
      <c r="B161" s="114">
        <v>460</v>
      </c>
      <c r="C161" s="107" t="s">
        <v>384</v>
      </c>
      <c r="D161">
        <v>14.9</v>
      </c>
      <c r="E161">
        <v>130</v>
      </c>
      <c r="F161">
        <v>3370</v>
      </c>
      <c r="G161">
        <v>18.7</v>
      </c>
      <c r="H161" s="102">
        <v>3600</v>
      </c>
      <c r="I161">
        <v>0</v>
      </c>
      <c r="J161">
        <v>0</v>
      </c>
      <c r="K161">
        <v>0</v>
      </c>
      <c r="L161">
        <v>0</v>
      </c>
      <c r="M161">
        <v>0</v>
      </c>
      <c r="N161" s="103">
        <v>1.57</v>
      </c>
      <c r="O161" s="103">
        <v>98.4</v>
      </c>
      <c r="P161" s="103">
        <v>2.9399999999999999E-2</v>
      </c>
      <c r="Q161" s="103">
        <v>1.7600000000000001E-5</v>
      </c>
      <c r="R161" s="103">
        <v>1.3200000000000001E-8</v>
      </c>
      <c r="S161" s="103">
        <v>-3.63E-11</v>
      </c>
      <c r="T161" s="103">
        <v>93.4</v>
      </c>
      <c r="U161" s="103">
        <v>-5.61</v>
      </c>
      <c r="V161" s="103">
        <v>107</v>
      </c>
      <c r="W161" s="103">
        <v>-344</v>
      </c>
      <c r="X161" s="103">
        <v>457</v>
      </c>
      <c r="Y161" s="103">
        <v>-288</v>
      </c>
      <c r="Z161" s="103">
        <v>0.747</v>
      </c>
      <c r="AA161" s="103">
        <v>1.98</v>
      </c>
      <c r="AB161" s="103">
        <v>-7.4</v>
      </c>
      <c r="AC161" s="103">
        <v>14.5</v>
      </c>
      <c r="AD161" s="103">
        <v>-15.7</v>
      </c>
      <c r="AE161" s="103">
        <v>8.73</v>
      </c>
      <c r="AF161">
        <v>4.5999999999999996</v>
      </c>
      <c r="AG161">
        <v>3600</v>
      </c>
    </row>
    <row r="162" spans="1:33" x14ac:dyDescent="0.3">
      <c r="A162" t="s">
        <v>59</v>
      </c>
      <c r="B162" s="114">
        <v>460</v>
      </c>
      <c r="C162" s="107" t="s">
        <v>385</v>
      </c>
      <c r="D162">
        <v>19</v>
      </c>
      <c r="E162">
        <v>185</v>
      </c>
      <c r="F162">
        <v>3750</v>
      </c>
      <c r="G162">
        <v>24.4</v>
      </c>
      <c r="H162" s="102">
        <v>3600</v>
      </c>
      <c r="I162">
        <v>0</v>
      </c>
      <c r="J162">
        <v>0</v>
      </c>
      <c r="K162">
        <v>0</v>
      </c>
      <c r="L162">
        <v>0</v>
      </c>
      <c r="M162">
        <v>0</v>
      </c>
      <c r="N162" s="103">
        <v>1.57</v>
      </c>
      <c r="O162" s="103">
        <v>98.4</v>
      </c>
      <c r="P162" s="103">
        <v>2.9399999999999999E-2</v>
      </c>
      <c r="Q162" s="103">
        <v>1.7600000000000001E-5</v>
      </c>
      <c r="R162" s="103">
        <v>1.3200000000000001E-8</v>
      </c>
      <c r="S162" s="103">
        <v>-5.13E-11</v>
      </c>
      <c r="T162" s="103">
        <v>92.9</v>
      </c>
      <c r="U162" s="103">
        <v>-5.58</v>
      </c>
      <c r="V162" s="103">
        <v>107</v>
      </c>
      <c r="W162" s="103">
        <v>-343</v>
      </c>
      <c r="X162" s="103">
        <v>454</v>
      </c>
      <c r="Y162" s="103">
        <v>-286</v>
      </c>
      <c r="Z162" s="103">
        <v>0.74199999999999999</v>
      </c>
      <c r="AA162" s="103">
        <v>2.04</v>
      </c>
      <c r="AB162" s="103">
        <v>-7.67</v>
      </c>
      <c r="AC162" s="103">
        <v>14.8</v>
      </c>
      <c r="AD162" s="103">
        <v>-15.4</v>
      </c>
      <c r="AE162" s="103">
        <v>8.08</v>
      </c>
      <c r="AF162">
        <v>4.5999999999999996</v>
      </c>
      <c r="AG162">
        <v>3600</v>
      </c>
    </row>
    <row r="163" spans="1:33" x14ac:dyDescent="0.3">
      <c r="A163" t="s">
        <v>59</v>
      </c>
      <c r="B163" s="114">
        <v>460</v>
      </c>
      <c r="C163" s="107" t="s">
        <v>386</v>
      </c>
      <c r="D163">
        <v>20.3</v>
      </c>
      <c r="E163">
        <v>200</v>
      </c>
      <c r="F163">
        <v>4060</v>
      </c>
      <c r="G163">
        <v>24.5</v>
      </c>
      <c r="H163" s="102">
        <v>3600</v>
      </c>
      <c r="I163">
        <v>0</v>
      </c>
      <c r="J163">
        <v>0</v>
      </c>
      <c r="K163">
        <v>0</v>
      </c>
      <c r="L163">
        <v>0</v>
      </c>
      <c r="M163">
        <v>0</v>
      </c>
      <c r="N163" s="103">
        <v>1.57</v>
      </c>
      <c r="O163" s="103">
        <v>98.4</v>
      </c>
      <c r="P163" s="103">
        <v>2.9399999999999999E-2</v>
      </c>
      <c r="Q163" s="103">
        <v>1.7600000000000001E-5</v>
      </c>
      <c r="R163" s="103">
        <v>1.3200000000000001E-8</v>
      </c>
      <c r="S163" s="103">
        <v>-3.63E-11</v>
      </c>
      <c r="T163" s="103">
        <v>93</v>
      </c>
      <c r="U163" s="103">
        <v>-5.59</v>
      </c>
      <c r="V163" s="103">
        <v>107</v>
      </c>
      <c r="W163" s="103">
        <v>-343</v>
      </c>
      <c r="X163" s="103">
        <v>455</v>
      </c>
      <c r="Y163" s="103">
        <v>-286</v>
      </c>
      <c r="Z163" s="103">
        <v>0.747</v>
      </c>
      <c r="AA163" s="103">
        <v>1.98</v>
      </c>
      <c r="AB163" s="103">
        <v>-7.4</v>
      </c>
      <c r="AC163" s="103">
        <v>14.5</v>
      </c>
      <c r="AD163" s="103">
        <v>-15.7</v>
      </c>
      <c r="AE163" s="103">
        <v>8.73</v>
      </c>
      <c r="AF163">
        <v>4.5999999999999996</v>
      </c>
      <c r="AG163">
        <v>3600</v>
      </c>
    </row>
    <row r="164" spans="1:33" x14ac:dyDescent="0.3">
      <c r="A164" t="s">
        <v>59</v>
      </c>
      <c r="B164" s="114">
        <v>460</v>
      </c>
      <c r="C164" s="107" t="s">
        <v>387</v>
      </c>
      <c r="D164">
        <v>21.7</v>
      </c>
      <c r="E164">
        <v>225</v>
      </c>
      <c r="F164">
        <v>4070</v>
      </c>
      <c r="G164">
        <v>27.5</v>
      </c>
      <c r="H164" s="102">
        <v>3600</v>
      </c>
      <c r="I164">
        <v>0</v>
      </c>
      <c r="J164">
        <v>0</v>
      </c>
      <c r="K164">
        <v>0</v>
      </c>
      <c r="L164">
        <v>0</v>
      </c>
      <c r="M164">
        <v>0</v>
      </c>
      <c r="N164" s="103">
        <v>1.57</v>
      </c>
      <c r="O164" s="103">
        <v>98.4</v>
      </c>
      <c r="P164" s="103">
        <v>2.9399999999999999E-2</v>
      </c>
      <c r="Q164" s="103">
        <v>1.7600000000000001E-5</v>
      </c>
      <c r="R164" s="103">
        <v>1.3200000000000001E-8</v>
      </c>
      <c r="S164" s="103">
        <v>-3.9300000000000003E-11</v>
      </c>
      <c r="T164" s="103">
        <v>92.2</v>
      </c>
      <c r="U164" s="103">
        <v>-5.54</v>
      </c>
      <c r="V164" s="103">
        <v>106</v>
      </c>
      <c r="W164" s="103">
        <v>-340</v>
      </c>
      <c r="X164" s="103">
        <v>451</v>
      </c>
      <c r="Y164" s="103">
        <v>-284</v>
      </c>
      <c r="Z164" s="103">
        <v>0.747</v>
      </c>
      <c r="AA164" s="103">
        <v>1.98</v>
      </c>
      <c r="AB164" s="103">
        <v>-7.4</v>
      </c>
      <c r="AC164" s="103">
        <v>14.5</v>
      </c>
      <c r="AD164" s="103">
        <v>-15.7</v>
      </c>
      <c r="AE164" s="103">
        <v>8.73</v>
      </c>
      <c r="AF164">
        <v>4.5999999999999996</v>
      </c>
      <c r="AG164">
        <v>3600</v>
      </c>
    </row>
    <row r="165" spans="1:33" x14ac:dyDescent="0.3">
      <c r="A165" t="s">
        <v>59</v>
      </c>
      <c r="B165" s="114">
        <v>460</v>
      </c>
      <c r="C165" s="107" t="s">
        <v>388</v>
      </c>
      <c r="D165">
        <v>23</v>
      </c>
      <c r="E165">
        <v>240</v>
      </c>
      <c r="F165">
        <v>4030</v>
      </c>
      <c r="G165">
        <v>29.7</v>
      </c>
      <c r="H165" s="102">
        <v>3600</v>
      </c>
      <c r="I165">
        <v>0</v>
      </c>
      <c r="J165">
        <v>0</v>
      </c>
      <c r="K165">
        <v>0</v>
      </c>
      <c r="L165">
        <v>0</v>
      </c>
      <c r="M165">
        <v>0</v>
      </c>
      <c r="N165" s="103">
        <v>1.57</v>
      </c>
      <c r="O165" s="103">
        <v>98.4</v>
      </c>
      <c r="P165" s="103">
        <v>2.9399999999999999E-2</v>
      </c>
      <c r="Q165" s="103">
        <v>1.7600000000000001E-5</v>
      </c>
      <c r="R165" s="103">
        <v>1.3200000000000001E-8</v>
      </c>
      <c r="S165" s="103">
        <v>-3.9300000000000003E-11</v>
      </c>
      <c r="T165" s="103">
        <v>92.7</v>
      </c>
      <c r="U165" s="103">
        <v>-5.57</v>
      </c>
      <c r="V165" s="103">
        <v>106</v>
      </c>
      <c r="W165" s="103">
        <v>-342</v>
      </c>
      <c r="X165" s="103">
        <v>453</v>
      </c>
      <c r="Y165" s="103">
        <v>-286</v>
      </c>
      <c r="Z165" s="103">
        <v>0.72699999999999998</v>
      </c>
      <c r="AA165" s="103">
        <v>2.35</v>
      </c>
      <c r="AB165" s="103">
        <v>-9.85</v>
      </c>
      <c r="AC165" s="103">
        <v>21.8</v>
      </c>
      <c r="AD165" s="103">
        <v>-26.5</v>
      </c>
      <c r="AE165" s="103">
        <v>16.399999999999999</v>
      </c>
      <c r="AF165">
        <v>4.5999999999999996</v>
      </c>
      <c r="AG165">
        <v>3600</v>
      </c>
    </row>
    <row r="166" spans="1:33" x14ac:dyDescent="0.3">
      <c r="A166" t="s">
        <v>59</v>
      </c>
      <c r="B166" s="114">
        <v>512</v>
      </c>
      <c r="C166" s="107" t="s">
        <v>389</v>
      </c>
      <c r="D166">
        <v>8.3000000000000007</v>
      </c>
      <c r="E166">
        <v>100</v>
      </c>
      <c r="F166">
        <v>2110</v>
      </c>
      <c r="G166">
        <v>23</v>
      </c>
      <c r="H166" s="102">
        <v>3600</v>
      </c>
      <c r="I166">
        <v>0</v>
      </c>
      <c r="J166">
        <v>0</v>
      </c>
      <c r="K166">
        <v>0</v>
      </c>
      <c r="L166">
        <v>0</v>
      </c>
      <c r="M166">
        <v>0</v>
      </c>
      <c r="N166" s="103">
        <v>1.56</v>
      </c>
      <c r="O166" s="103">
        <v>98.4</v>
      </c>
      <c r="P166" s="103">
        <v>1.52E-2</v>
      </c>
      <c r="Q166" s="103">
        <v>4.6700000000000002E-6</v>
      </c>
      <c r="R166" s="103">
        <v>1.8800000000000001E-9</v>
      </c>
      <c r="S166" s="103">
        <v>-5.4899999999999999E-11</v>
      </c>
      <c r="T166" s="103">
        <v>93.3</v>
      </c>
      <c r="U166" s="103">
        <v>1.47</v>
      </c>
      <c r="V166" s="103">
        <v>50.2</v>
      </c>
      <c r="W166" s="103">
        <v>-174</v>
      </c>
      <c r="X166" s="103">
        <v>246</v>
      </c>
      <c r="Y166" s="103">
        <v>-169</v>
      </c>
      <c r="Z166" s="103">
        <v>0.72</v>
      </c>
      <c r="AA166" s="103">
        <v>1.95</v>
      </c>
      <c r="AB166" s="103">
        <v>-6.48</v>
      </c>
      <c r="AC166" s="103">
        <v>10.5</v>
      </c>
      <c r="AD166" s="103">
        <v>-8.7799999999999994</v>
      </c>
      <c r="AE166" s="103">
        <v>3.57</v>
      </c>
      <c r="AF166">
        <v>5.12</v>
      </c>
      <c r="AG166">
        <v>3600</v>
      </c>
    </row>
    <row r="167" spans="1:33" x14ac:dyDescent="0.3">
      <c r="A167" t="s">
        <v>59</v>
      </c>
      <c r="B167" s="114">
        <v>512</v>
      </c>
      <c r="C167" s="107" t="s">
        <v>390</v>
      </c>
      <c r="D167">
        <v>13.8</v>
      </c>
      <c r="E167">
        <v>200</v>
      </c>
      <c r="F167">
        <v>4200</v>
      </c>
      <c r="G167">
        <v>22.8</v>
      </c>
      <c r="H167" s="102">
        <v>3600</v>
      </c>
      <c r="I167">
        <v>0</v>
      </c>
      <c r="J167">
        <v>0</v>
      </c>
      <c r="K167">
        <v>0</v>
      </c>
      <c r="L167">
        <v>0</v>
      </c>
      <c r="M167">
        <v>0</v>
      </c>
      <c r="N167" s="103">
        <v>1.56</v>
      </c>
      <c r="O167" s="103">
        <v>98.4</v>
      </c>
      <c r="P167" s="103">
        <v>1.52E-2</v>
      </c>
      <c r="Q167" s="103">
        <v>4.6700000000000002E-6</v>
      </c>
      <c r="R167" s="103">
        <v>1.8E-9</v>
      </c>
      <c r="S167" s="103">
        <v>-1.71E-12</v>
      </c>
      <c r="T167" s="103">
        <v>93</v>
      </c>
      <c r="U167" s="103">
        <v>1.46</v>
      </c>
      <c r="V167" s="103">
        <v>50</v>
      </c>
      <c r="W167" s="103">
        <v>-174</v>
      </c>
      <c r="X167" s="103">
        <v>245</v>
      </c>
      <c r="Y167" s="103">
        <v>-168</v>
      </c>
      <c r="Z167" s="103">
        <v>0.74</v>
      </c>
      <c r="AA167" s="103">
        <v>1.95</v>
      </c>
      <c r="AB167" s="103">
        <v>-7.27</v>
      </c>
      <c r="AC167" s="103">
        <v>14.3</v>
      </c>
      <c r="AD167" s="103">
        <v>-15.4</v>
      </c>
      <c r="AE167" s="103">
        <v>8.57</v>
      </c>
      <c r="AF167">
        <v>5.12</v>
      </c>
      <c r="AG167">
        <v>3600</v>
      </c>
    </row>
    <row r="168" spans="1:33" x14ac:dyDescent="0.3">
      <c r="A168" t="s">
        <v>59</v>
      </c>
      <c r="B168" s="114">
        <v>512</v>
      </c>
      <c r="C168" s="107" t="s">
        <v>391</v>
      </c>
      <c r="D168">
        <v>17.899999999999999</v>
      </c>
      <c r="E168">
        <v>295</v>
      </c>
      <c r="F168">
        <v>3890</v>
      </c>
      <c r="G168">
        <v>48.8</v>
      </c>
      <c r="H168" s="102">
        <v>3600</v>
      </c>
      <c r="I168">
        <v>0</v>
      </c>
      <c r="J168">
        <v>0</v>
      </c>
      <c r="K168">
        <v>0</v>
      </c>
      <c r="L168">
        <v>0</v>
      </c>
      <c r="M168">
        <v>0</v>
      </c>
      <c r="N168" s="103">
        <v>1.56</v>
      </c>
      <c r="O168" s="103">
        <v>98.4</v>
      </c>
      <c r="P168" s="103">
        <v>1.52E-2</v>
      </c>
      <c r="Q168" s="103">
        <v>4.6700000000000002E-6</v>
      </c>
      <c r="R168" s="103">
        <v>1.8800000000000001E-9</v>
      </c>
      <c r="S168" s="103">
        <v>-5.0400000000000002E-11</v>
      </c>
      <c r="T168" s="103">
        <v>92.8</v>
      </c>
      <c r="U168" s="103">
        <v>1.46</v>
      </c>
      <c r="V168" s="103">
        <v>49.9</v>
      </c>
      <c r="W168" s="103">
        <v>-173</v>
      </c>
      <c r="X168" s="103">
        <v>244</v>
      </c>
      <c r="Y168" s="103">
        <v>-168</v>
      </c>
      <c r="Z168" s="103">
        <v>0.745</v>
      </c>
      <c r="AA168" s="103">
        <v>1.95</v>
      </c>
      <c r="AB168" s="103">
        <v>-7.27</v>
      </c>
      <c r="AC168" s="103">
        <v>14.3</v>
      </c>
      <c r="AD168" s="103">
        <v>-15.4</v>
      </c>
      <c r="AE168" s="103">
        <v>8.57</v>
      </c>
      <c r="AF168">
        <v>5.12</v>
      </c>
      <c r="AG168">
        <v>3600</v>
      </c>
    </row>
    <row r="169" spans="1:33" x14ac:dyDescent="0.3">
      <c r="A169" t="s">
        <v>59</v>
      </c>
      <c r="B169" s="114">
        <v>512</v>
      </c>
      <c r="C169" s="107" t="s">
        <v>392</v>
      </c>
      <c r="D169">
        <v>19.3</v>
      </c>
      <c r="E169">
        <v>320</v>
      </c>
      <c r="F169">
        <v>3870</v>
      </c>
      <c r="G169">
        <v>39.9</v>
      </c>
      <c r="H169" s="102">
        <v>3600</v>
      </c>
      <c r="I169">
        <v>0</v>
      </c>
      <c r="J169">
        <v>0</v>
      </c>
      <c r="K169">
        <v>0</v>
      </c>
      <c r="L169">
        <v>0</v>
      </c>
      <c r="M169">
        <v>0</v>
      </c>
      <c r="N169" s="103">
        <v>1.56</v>
      </c>
      <c r="O169" s="103">
        <v>98.4</v>
      </c>
      <c r="P169" s="103">
        <v>1.52E-2</v>
      </c>
      <c r="Q169" s="103">
        <v>4.6700000000000002E-6</v>
      </c>
      <c r="R169" s="103">
        <v>1.8800000000000001E-9</v>
      </c>
      <c r="S169" s="103">
        <v>-5.0400000000000002E-11</v>
      </c>
      <c r="T169" s="103">
        <v>92.9</v>
      </c>
      <c r="U169" s="103">
        <v>1.46</v>
      </c>
      <c r="V169" s="103">
        <v>50</v>
      </c>
      <c r="W169" s="103">
        <v>-173</v>
      </c>
      <c r="X169" s="103">
        <v>245</v>
      </c>
      <c r="Y169" s="103">
        <v>-168</v>
      </c>
      <c r="Z169" s="103">
        <v>0.746</v>
      </c>
      <c r="AA169" s="103">
        <v>1.95</v>
      </c>
      <c r="AB169" s="103">
        <v>-7.28</v>
      </c>
      <c r="AC169" s="103">
        <v>14.3</v>
      </c>
      <c r="AD169" s="103">
        <v>-15.4</v>
      </c>
      <c r="AE169" s="103">
        <v>8.58</v>
      </c>
      <c r="AF169">
        <v>5.12</v>
      </c>
      <c r="AG169">
        <v>3600</v>
      </c>
    </row>
    <row r="170" spans="1:33" x14ac:dyDescent="0.3">
      <c r="A170" t="s">
        <v>59</v>
      </c>
      <c r="B170" s="114">
        <v>512</v>
      </c>
      <c r="C170" s="107" t="s">
        <v>393</v>
      </c>
      <c r="D170">
        <v>22</v>
      </c>
      <c r="E170">
        <v>370</v>
      </c>
      <c r="F170">
        <v>4090</v>
      </c>
      <c r="G170">
        <v>43.3</v>
      </c>
      <c r="H170" s="102">
        <v>3600</v>
      </c>
      <c r="I170">
        <v>0</v>
      </c>
      <c r="J170">
        <v>0</v>
      </c>
      <c r="K170">
        <v>0</v>
      </c>
      <c r="L170">
        <v>0</v>
      </c>
      <c r="M170">
        <v>0</v>
      </c>
      <c r="N170" s="103">
        <v>1.56</v>
      </c>
      <c r="O170" s="103">
        <v>98.4</v>
      </c>
      <c r="P170" s="103">
        <v>1.52E-2</v>
      </c>
      <c r="Q170" s="103">
        <v>4.6700000000000002E-6</v>
      </c>
      <c r="R170" s="103">
        <v>1.86E-9</v>
      </c>
      <c r="S170" s="103">
        <v>-3.67E-11</v>
      </c>
      <c r="T170" s="103">
        <v>93</v>
      </c>
      <c r="U170" s="103">
        <v>1.46</v>
      </c>
      <c r="V170" s="103">
        <v>50</v>
      </c>
      <c r="W170" s="103">
        <v>-174</v>
      </c>
      <c r="X170" s="103">
        <v>245</v>
      </c>
      <c r="Y170" s="103">
        <v>-168</v>
      </c>
      <c r="Z170" s="103">
        <v>0.73199999999999998</v>
      </c>
      <c r="AA170" s="103">
        <v>2.1800000000000002</v>
      </c>
      <c r="AB170" s="103">
        <v>-8.86</v>
      </c>
      <c r="AC170" s="103">
        <v>19.2</v>
      </c>
      <c r="AD170" s="103">
        <v>-22.8</v>
      </c>
      <c r="AE170" s="103">
        <v>13.7</v>
      </c>
      <c r="AF170">
        <v>5.12</v>
      </c>
      <c r="AG170">
        <v>3600</v>
      </c>
    </row>
    <row r="171" spans="1:33" x14ac:dyDescent="0.3">
      <c r="A171" t="s">
        <v>59</v>
      </c>
      <c r="B171" s="114">
        <v>512</v>
      </c>
      <c r="C171" s="107" t="s">
        <v>394</v>
      </c>
      <c r="D171">
        <v>23.4</v>
      </c>
      <c r="E171">
        <v>400</v>
      </c>
      <c r="F171">
        <v>3940</v>
      </c>
      <c r="G171">
        <v>48.8</v>
      </c>
      <c r="H171" s="102">
        <v>3600</v>
      </c>
      <c r="I171">
        <v>0</v>
      </c>
      <c r="J171">
        <v>0</v>
      </c>
      <c r="K171">
        <v>0</v>
      </c>
      <c r="L171">
        <v>0</v>
      </c>
      <c r="M171">
        <v>0</v>
      </c>
      <c r="N171" s="103">
        <v>1.56</v>
      </c>
      <c r="O171" s="103">
        <v>98.4</v>
      </c>
      <c r="P171" s="103">
        <v>1.52E-2</v>
      </c>
      <c r="Q171" s="103">
        <v>4.6700000000000002E-6</v>
      </c>
      <c r="R171" s="103">
        <v>1.8800000000000001E-9</v>
      </c>
      <c r="S171" s="103">
        <v>-5.4899999999999999E-11</v>
      </c>
      <c r="T171" s="103">
        <v>93.1</v>
      </c>
      <c r="U171" s="103">
        <v>1.46</v>
      </c>
      <c r="V171" s="103">
        <v>50.1</v>
      </c>
      <c r="W171" s="103">
        <v>-174</v>
      </c>
      <c r="X171" s="103">
        <v>245</v>
      </c>
      <c r="Y171" s="103">
        <v>-168</v>
      </c>
      <c r="Z171" s="103">
        <v>0.73799999999999999</v>
      </c>
      <c r="AA171" s="103">
        <v>1.96</v>
      </c>
      <c r="AB171" s="103">
        <v>-7.3</v>
      </c>
      <c r="AC171" s="103">
        <v>14.3</v>
      </c>
      <c r="AD171" s="103">
        <v>-15.5</v>
      </c>
      <c r="AE171" s="103">
        <v>8.6</v>
      </c>
      <c r="AF171">
        <v>5.12</v>
      </c>
      <c r="AG171">
        <v>3600</v>
      </c>
    </row>
    <row r="172" spans="1:33" x14ac:dyDescent="0.3">
      <c r="A172" t="s">
        <v>59</v>
      </c>
      <c r="B172" s="114">
        <v>512</v>
      </c>
      <c r="C172" s="107" t="s">
        <v>395</v>
      </c>
      <c r="D172">
        <v>26.1</v>
      </c>
      <c r="E172">
        <v>450</v>
      </c>
      <c r="F172">
        <v>3960</v>
      </c>
      <c r="G172">
        <v>54.4</v>
      </c>
      <c r="H172" s="102">
        <v>3600</v>
      </c>
      <c r="I172">
        <v>0</v>
      </c>
      <c r="J172">
        <v>0</v>
      </c>
      <c r="K172">
        <v>0</v>
      </c>
      <c r="L172">
        <v>0</v>
      </c>
      <c r="M172">
        <v>0</v>
      </c>
      <c r="N172" s="103">
        <v>1.56</v>
      </c>
      <c r="O172" s="103">
        <v>98.4</v>
      </c>
      <c r="P172" s="103">
        <v>1.52E-2</v>
      </c>
      <c r="Q172" s="103">
        <v>4.6700000000000002E-6</v>
      </c>
      <c r="R172" s="103">
        <v>1.8800000000000001E-9</v>
      </c>
      <c r="S172" s="103">
        <v>-5.4899999999999999E-11</v>
      </c>
      <c r="T172" s="103">
        <v>92.9</v>
      </c>
      <c r="U172" s="103">
        <v>1.46</v>
      </c>
      <c r="V172" s="103">
        <v>49.9</v>
      </c>
      <c r="W172" s="103">
        <v>-173</v>
      </c>
      <c r="X172" s="103">
        <v>245</v>
      </c>
      <c r="Y172" s="103">
        <v>-168</v>
      </c>
      <c r="Z172" s="103">
        <v>0.73799999999999999</v>
      </c>
      <c r="AA172" s="103">
        <v>1.96</v>
      </c>
      <c r="AB172" s="103">
        <v>-7.3</v>
      </c>
      <c r="AC172" s="103">
        <v>14.3</v>
      </c>
      <c r="AD172" s="103">
        <v>-15.5</v>
      </c>
      <c r="AE172" s="103">
        <v>8.6</v>
      </c>
      <c r="AF172">
        <v>5.12</v>
      </c>
      <c r="AG172">
        <v>3600</v>
      </c>
    </row>
    <row r="173" spans="1:33" x14ac:dyDescent="0.3">
      <c r="A173" t="s">
        <v>59</v>
      </c>
      <c r="B173" s="114">
        <v>512</v>
      </c>
      <c r="C173" s="107" t="s">
        <v>396</v>
      </c>
      <c r="D173">
        <v>27.5</v>
      </c>
      <c r="E173">
        <v>480</v>
      </c>
      <c r="F173">
        <v>4260</v>
      </c>
      <c r="G173">
        <v>55</v>
      </c>
      <c r="H173" s="102">
        <v>3600</v>
      </c>
      <c r="I173">
        <v>0</v>
      </c>
      <c r="J173">
        <v>0</v>
      </c>
      <c r="K173">
        <v>0</v>
      </c>
      <c r="L173">
        <v>0</v>
      </c>
      <c r="M173">
        <v>0</v>
      </c>
      <c r="N173" s="103">
        <v>1.56</v>
      </c>
      <c r="O173" s="103">
        <v>98.4</v>
      </c>
      <c r="P173" s="103">
        <v>1.52E-2</v>
      </c>
      <c r="Q173" s="103">
        <v>4.6700000000000002E-6</v>
      </c>
      <c r="R173" s="103">
        <v>1.8800000000000001E-9</v>
      </c>
      <c r="S173" s="103">
        <v>-5.4899999999999999E-11</v>
      </c>
      <c r="T173" s="103">
        <v>91.8</v>
      </c>
      <c r="U173" s="103">
        <v>1.45</v>
      </c>
      <c r="V173" s="103">
        <v>49.4</v>
      </c>
      <c r="W173" s="103">
        <v>-172</v>
      </c>
      <c r="X173" s="103">
        <v>242</v>
      </c>
      <c r="Y173" s="103">
        <v>-166</v>
      </c>
      <c r="Z173" s="103">
        <v>0.74399999999999999</v>
      </c>
      <c r="AA173" s="103">
        <v>1.94</v>
      </c>
      <c r="AB173" s="103">
        <v>-7.21</v>
      </c>
      <c r="AC173" s="103">
        <v>14.1</v>
      </c>
      <c r="AD173" s="103">
        <v>-15.2</v>
      </c>
      <c r="AE173" s="103">
        <v>8.4499999999999993</v>
      </c>
      <c r="AF173">
        <v>5.12</v>
      </c>
      <c r="AG173">
        <v>3600</v>
      </c>
    </row>
    <row r="174" spans="1:33" x14ac:dyDescent="0.3">
      <c r="A174" t="s">
        <v>59</v>
      </c>
      <c r="B174" s="114">
        <v>512</v>
      </c>
      <c r="C174" s="107" t="s">
        <v>397</v>
      </c>
      <c r="D174">
        <v>49</v>
      </c>
      <c r="E174">
        <v>900</v>
      </c>
      <c r="F174">
        <v>4020</v>
      </c>
      <c r="G174">
        <v>110.2</v>
      </c>
      <c r="H174" s="102">
        <v>3600</v>
      </c>
      <c r="I174">
        <v>0</v>
      </c>
      <c r="J174">
        <v>0</v>
      </c>
      <c r="K174">
        <v>0</v>
      </c>
      <c r="L174">
        <v>0</v>
      </c>
      <c r="M174">
        <v>0</v>
      </c>
      <c r="N174" s="103">
        <v>1.56</v>
      </c>
      <c r="O174" s="103">
        <v>98.4</v>
      </c>
      <c r="P174" s="103">
        <v>1.52E-2</v>
      </c>
      <c r="Q174" s="103">
        <v>4.6700000000000002E-6</v>
      </c>
      <c r="R174" s="103">
        <v>1.8E-9</v>
      </c>
      <c r="S174" s="103">
        <v>8.4200000000000005E-13</v>
      </c>
      <c r="T174" s="103">
        <v>93.6</v>
      </c>
      <c r="U174" s="103">
        <v>21.6</v>
      </c>
      <c r="V174" s="103">
        <v>-49.1</v>
      </c>
      <c r="W174" s="103">
        <v>64.3</v>
      </c>
      <c r="X174" s="103">
        <v>-52</v>
      </c>
      <c r="Y174" s="103">
        <v>16.2</v>
      </c>
      <c r="Z174" s="103">
        <v>81.400000000000006</v>
      </c>
      <c r="AA174" s="103">
        <v>76.8</v>
      </c>
      <c r="AB174" s="103">
        <v>-191</v>
      </c>
      <c r="AC174" s="103">
        <v>234</v>
      </c>
      <c r="AD174" s="103">
        <v>-143</v>
      </c>
      <c r="AE174" s="103">
        <v>34.6</v>
      </c>
      <c r="AF174">
        <v>5.12</v>
      </c>
      <c r="AG174">
        <v>3600</v>
      </c>
    </row>
    <row r="175" spans="1:33" x14ac:dyDescent="0.3">
      <c r="A175" t="s">
        <v>59</v>
      </c>
      <c r="B175" s="114">
        <v>406</v>
      </c>
      <c r="C175" s="107" t="s">
        <v>398</v>
      </c>
      <c r="D175">
        <v>14.7</v>
      </c>
      <c r="E175">
        <v>50</v>
      </c>
      <c r="F175">
        <v>1200</v>
      </c>
      <c r="G175">
        <v>28</v>
      </c>
      <c r="H175" s="102">
        <v>3600</v>
      </c>
      <c r="I175">
        <v>-238.6600827</v>
      </c>
      <c r="J175">
        <v>157.2292009</v>
      </c>
      <c r="K175">
        <v>-560.71712769999999</v>
      </c>
      <c r="L175">
        <v>903.02785310000002</v>
      </c>
      <c r="M175">
        <v>-671.86349929999994</v>
      </c>
      <c r="N175" s="103">
        <v>37.799999999999997</v>
      </c>
      <c r="O175" s="103">
        <v>23.5</v>
      </c>
      <c r="P175" s="103">
        <v>211</v>
      </c>
      <c r="Q175" s="103">
        <v>-648</v>
      </c>
      <c r="R175" s="103">
        <v>963</v>
      </c>
      <c r="S175" s="103">
        <v>-664</v>
      </c>
      <c r="T175" s="103">
        <v>0.127</v>
      </c>
      <c r="U175" s="103">
        <v>1.65</v>
      </c>
      <c r="V175" s="103">
        <v>-2.63</v>
      </c>
      <c r="W175" s="103">
        <v>5.6</v>
      </c>
      <c r="X175" s="103">
        <v>-8.2899999999999991</v>
      </c>
      <c r="Y175" s="103">
        <v>6</v>
      </c>
      <c r="Z175" s="103">
        <v>2.2800000000000001E-2</v>
      </c>
      <c r="AA175" s="103">
        <v>8.9</v>
      </c>
      <c r="AB175" s="103">
        <v>-41.7</v>
      </c>
      <c r="AC175" s="103">
        <v>98.4</v>
      </c>
      <c r="AD175" s="103">
        <v>-122</v>
      </c>
      <c r="AE175" s="103">
        <v>75.099999999999994</v>
      </c>
      <c r="AF175">
        <v>4.0599999999999996</v>
      </c>
      <c r="AG175">
        <v>3600</v>
      </c>
    </row>
    <row r="176" spans="1:33" x14ac:dyDescent="0.3">
      <c r="A176" t="s">
        <v>59</v>
      </c>
      <c r="B176" s="114">
        <v>406</v>
      </c>
      <c r="C176" s="107" t="s">
        <v>399</v>
      </c>
      <c r="D176">
        <v>17</v>
      </c>
      <c r="E176">
        <v>64</v>
      </c>
      <c r="F176">
        <v>1320</v>
      </c>
      <c r="G176">
        <v>32.6</v>
      </c>
      <c r="H176" s="102">
        <v>3600</v>
      </c>
      <c r="I176">
        <v>-215.0778048</v>
      </c>
      <c r="J176">
        <v>-18.125655500000001</v>
      </c>
      <c r="K176">
        <v>69.180471100000005</v>
      </c>
      <c r="L176">
        <v>-110.72335409999999</v>
      </c>
      <c r="M176">
        <v>80.389446640000003</v>
      </c>
      <c r="N176" s="103">
        <v>41</v>
      </c>
      <c r="O176" s="103">
        <v>21.5</v>
      </c>
      <c r="P176" s="103">
        <v>82.9</v>
      </c>
      <c r="Q176" s="103">
        <v>-100</v>
      </c>
      <c r="R176" s="103">
        <v>50.8</v>
      </c>
      <c r="S176" s="103">
        <v>19.899999999999999</v>
      </c>
      <c r="T176" s="103">
        <v>0.12</v>
      </c>
      <c r="U176" s="103">
        <v>1.5</v>
      </c>
      <c r="V176" s="103">
        <v>-1.1399999999999999</v>
      </c>
      <c r="W176" s="103">
        <v>0.64900000000000002</v>
      </c>
      <c r="X176" s="103">
        <v>-0.8</v>
      </c>
      <c r="Y176" s="103">
        <v>0.67600000000000005</v>
      </c>
      <c r="Z176" s="103">
        <v>2.2800000000000001E-2</v>
      </c>
      <c r="AA176" s="103">
        <v>8.75</v>
      </c>
      <c r="AB176" s="103">
        <v>-40.9</v>
      </c>
      <c r="AC176" s="103">
        <v>96.5</v>
      </c>
      <c r="AD176" s="103">
        <v>-119</v>
      </c>
      <c r="AE176" s="103">
        <v>73.599999999999994</v>
      </c>
      <c r="AF176">
        <v>4.0599999999999996</v>
      </c>
      <c r="AG176">
        <v>3600</v>
      </c>
    </row>
    <row r="177" spans="1:33" x14ac:dyDescent="0.3">
      <c r="A177" t="s">
        <v>59</v>
      </c>
      <c r="B177" s="114">
        <v>406</v>
      </c>
      <c r="C177" s="107" t="s">
        <v>400</v>
      </c>
      <c r="D177">
        <v>20.399999999999999</v>
      </c>
      <c r="E177">
        <v>90</v>
      </c>
      <c r="F177">
        <v>1660</v>
      </c>
      <c r="G177">
        <v>36.6</v>
      </c>
      <c r="H177" s="102">
        <v>3600</v>
      </c>
      <c r="I177">
        <v>-229.28213220000001</v>
      </c>
      <c r="J177">
        <v>-157.9643385</v>
      </c>
      <c r="K177">
        <v>563.31844660000002</v>
      </c>
      <c r="L177">
        <v>-907.05895840000005</v>
      </c>
      <c r="M177">
        <v>674.73776999999995</v>
      </c>
      <c r="N177" s="103">
        <v>39.299999999999997</v>
      </c>
      <c r="O177" s="103">
        <v>14.1</v>
      </c>
      <c r="P177" s="103">
        <v>259</v>
      </c>
      <c r="Q177" s="103">
        <v>-783</v>
      </c>
      <c r="R177" s="103">
        <v>1140</v>
      </c>
      <c r="S177" s="103">
        <v>-767</v>
      </c>
      <c r="T177" s="103">
        <v>0.115</v>
      </c>
      <c r="U177" s="103">
        <v>1.65</v>
      </c>
      <c r="V177" s="103">
        <v>-2.46</v>
      </c>
      <c r="W177" s="103">
        <v>5.38</v>
      </c>
      <c r="X177" s="103">
        <v>-8.3699999999999992</v>
      </c>
      <c r="Y177" s="103">
        <v>6.23</v>
      </c>
      <c r="Z177" s="103">
        <v>2.4E-2</v>
      </c>
      <c r="AA177" s="103">
        <v>9</v>
      </c>
      <c r="AB177" s="103">
        <v>-43.3</v>
      </c>
      <c r="AC177" s="103">
        <v>104</v>
      </c>
      <c r="AD177" s="103">
        <v>-129</v>
      </c>
      <c r="AE177" s="103">
        <v>79.8</v>
      </c>
      <c r="AF177">
        <v>4.0599999999999996</v>
      </c>
      <c r="AG177">
        <v>3600</v>
      </c>
    </row>
    <row r="178" spans="1:33" x14ac:dyDescent="0.3">
      <c r="A178" t="s">
        <v>59</v>
      </c>
      <c r="B178" s="114">
        <v>406</v>
      </c>
      <c r="C178" s="107" t="s">
        <v>401</v>
      </c>
      <c r="D178">
        <v>23.8</v>
      </c>
      <c r="E178">
        <v>100</v>
      </c>
      <c r="F178">
        <v>1940</v>
      </c>
      <c r="G178">
        <v>34.9</v>
      </c>
      <c r="H178" s="102">
        <v>3600</v>
      </c>
      <c r="I178">
        <v>-224.81049419999999</v>
      </c>
      <c r="J178">
        <v>-65.270263130000004</v>
      </c>
      <c r="K178">
        <v>204.5080237</v>
      </c>
      <c r="L178">
        <v>-312.9003118</v>
      </c>
      <c r="M178">
        <v>228.9800711</v>
      </c>
      <c r="N178" s="103">
        <v>38.4</v>
      </c>
      <c r="O178" s="103">
        <v>28.8</v>
      </c>
      <c r="P178" s="103">
        <v>195</v>
      </c>
      <c r="Q178" s="103">
        <v>-679</v>
      </c>
      <c r="R178" s="103">
        <v>1100</v>
      </c>
      <c r="S178" s="103">
        <v>-798</v>
      </c>
      <c r="T178" s="103">
        <v>0.11899999999999999</v>
      </c>
      <c r="U178" s="103">
        <v>1.64</v>
      </c>
      <c r="V178" s="103">
        <v>-2.68</v>
      </c>
      <c r="W178" s="103">
        <v>6.35</v>
      </c>
      <c r="X178" s="103">
        <v>-10</v>
      </c>
      <c r="Y178" s="103">
        <v>7.45</v>
      </c>
      <c r="Z178" s="103">
        <v>2.5000000000000001E-2</v>
      </c>
      <c r="AA178" s="103">
        <v>8.9600000000000009</v>
      </c>
      <c r="AB178" s="103">
        <v>-42.9</v>
      </c>
      <c r="AC178" s="103">
        <v>103</v>
      </c>
      <c r="AD178" s="103">
        <v>-128</v>
      </c>
      <c r="AE178" s="103">
        <v>79.599999999999994</v>
      </c>
      <c r="AF178">
        <v>4.0599999999999996</v>
      </c>
      <c r="AG178">
        <v>3600</v>
      </c>
    </row>
    <row r="179" spans="1:33" x14ac:dyDescent="0.3">
      <c r="A179" t="s">
        <v>59</v>
      </c>
      <c r="B179" s="114">
        <v>406</v>
      </c>
      <c r="C179" s="107" t="s">
        <v>402</v>
      </c>
      <c r="D179">
        <v>45.3</v>
      </c>
      <c r="E179">
        <v>200</v>
      </c>
      <c r="F179">
        <v>2830</v>
      </c>
      <c r="G179">
        <v>47.8</v>
      </c>
      <c r="H179" s="102">
        <v>3600</v>
      </c>
      <c r="I179">
        <v>-229.2627526</v>
      </c>
      <c r="J179">
        <v>-158.34730089999999</v>
      </c>
      <c r="K179">
        <v>564.78115760000003</v>
      </c>
      <c r="L179">
        <v>-909.40070990000004</v>
      </c>
      <c r="M179">
        <v>676.43824329999995</v>
      </c>
      <c r="N179" s="103">
        <v>39.9</v>
      </c>
      <c r="O179" s="103">
        <v>14.6</v>
      </c>
      <c r="P179" s="103">
        <v>222</v>
      </c>
      <c r="Q179" s="103">
        <v>-650</v>
      </c>
      <c r="R179" s="103">
        <v>962</v>
      </c>
      <c r="S179" s="103">
        <v>-663</v>
      </c>
      <c r="T179" s="103">
        <v>11.2</v>
      </c>
      <c r="U179" s="103">
        <v>160</v>
      </c>
      <c r="V179" s="103">
        <v>-137</v>
      </c>
      <c r="W179" s="103">
        <v>112</v>
      </c>
      <c r="X179" s="103">
        <v>-152</v>
      </c>
      <c r="Y179" s="103">
        <v>125</v>
      </c>
      <c r="Z179" s="103">
        <v>2.4299999999999999E-2</v>
      </c>
      <c r="AA179" s="103">
        <v>8.9600000000000009</v>
      </c>
      <c r="AB179" s="103">
        <v>-42.9</v>
      </c>
      <c r="AC179" s="103">
        <v>103</v>
      </c>
      <c r="AD179" s="103">
        <v>-128</v>
      </c>
      <c r="AE179" s="103">
        <v>79.5</v>
      </c>
      <c r="AF179">
        <v>4.0599999999999996</v>
      </c>
      <c r="AG179">
        <v>3600</v>
      </c>
    </row>
    <row r="180" spans="1:33" x14ac:dyDescent="0.3">
      <c r="A180" t="s">
        <v>59</v>
      </c>
      <c r="B180" s="114">
        <v>460</v>
      </c>
      <c r="C180" s="107" t="s">
        <v>403</v>
      </c>
      <c r="D180">
        <v>12.5</v>
      </c>
      <c r="E180">
        <v>51</v>
      </c>
      <c r="F180">
        <v>1200</v>
      </c>
      <c r="G180">
        <v>26.5</v>
      </c>
      <c r="H180" s="102">
        <v>3600.07</v>
      </c>
      <c r="I180">
        <v>-188.5055256</v>
      </c>
      <c r="J180">
        <v>174.3327587</v>
      </c>
      <c r="K180">
        <v>-454.94878010000002</v>
      </c>
      <c r="L180">
        <v>406.35604180000001</v>
      </c>
      <c r="M180">
        <v>-128.28472110000001</v>
      </c>
      <c r="N180" s="103">
        <v>37.5</v>
      </c>
      <c r="O180" s="103">
        <v>19</v>
      </c>
      <c r="P180" s="103">
        <v>101</v>
      </c>
      <c r="Q180" s="103">
        <v>-187</v>
      </c>
      <c r="R180" s="103">
        <v>220</v>
      </c>
      <c r="S180" s="103">
        <v>-91.1</v>
      </c>
      <c r="T180" s="103">
        <v>13.5</v>
      </c>
      <c r="U180" s="103">
        <v>265</v>
      </c>
      <c r="V180" s="103">
        <v>-617</v>
      </c>
      <c r="W180" s="103">
        <v>928</v>
      </c>
      <c r="X180" s="103">
        <v>-722</v>
      </c>
      <c r="Y180" s="103">
        <v>217</v>
      </c>
      <c r="Z180" s="103">
        <v>0.23599999999999999</v>
      </c>
      <c r="AA180" s="103">
        <v>680</v>
      </c>
      <c r="AB180" s="103">
        <v>-2230</v>
      </c>
      <c r="AC180" s="103">
        <v>3520</v>
      </c>
      <c r="AD180" s="103">
        <v>-2650</v>
      </c>
      <c r="AE180" s="103">
        <v>760</v>
      </c>
      <c r="AF180">
        <v>4.5999999999999996</v>
      </c>
      <c r="AG180">
        <v>3600</v>
      </c>
    </row>
    <row r="181" spans="1:33" x14ac:dyDescent="0.3">
      <c r="A181" t="s">
        <v>59</v>
      </c>
      <c r="B181" s="114">
        <v>460</v>
      </c>
      <c r="C181" s="107" t="s">
        <v>404</v>
      </c>
      <c r="D181">
        <v>13.8</v>
      </c>
      <c r="E181">
        <v>64</v>
      </c>
      <c r="F181">
        <v>1500</v>
      </c>
      <c r="G181">
        <v>27.8</v>
      </c>
      <c r="H181" s="102">
        <v>3600</v>
      </c>
      <c r="I181">
        <v>-147.3843214</v>
      </c>
      <c r="J181">
        <v>-90.541562569999996</v>
      </c>
      <c r="K181">
        <v>244.97806660000001</v>
      </c>
      <c r="L181">
        <v>-291.44147370000002</v>
      </c>
      <c r="M181">
        <v>111.5984979</v>
      </c>
      <c r="N181" s="103">
        <v>39.6</v>
      </c>
      <c r="O181" s="103">
        <v>27.1</v>
      </c>
      <c r="P181" s="103">
        <v>-7.06</v>
      </c>
      <c r="Q181" s="103">
        <v>154</v>
      </c>
      <c r="R181" s="103">
        <v>-181</v>
      </c>
      <c r="S181" s="103">
        <v>67.599999999999994</v>
      </c>
      <c r="T181" s="103">
        <v>10.8</v>
      </c>
      <c r="U181" s="103">
        <v>205</v>
      </c>
      <c r="V181" s="103">
        <v>-310</v>
      </c>
      <c r="W181" s="103">
        <v>337</v>
      </c>
      <c r="X181" s="103">
        <v>-217</v>
      </c>
      <c r="Y181" s="103">
        <v>57.6</v>
      </c>
      <c r="Z181" s="103">
        <v>3.4200000000000001E-2</v>
      </c>
      <c r="AA181" s="103">
        <v>614</v>
      </c>
      <c r="AB181" s="103">
        <v>-1810</v>
      </c>
      <c r="AC181" s="103">
        <v>2610</v>
      </c>
      <c r="AD181" s="103">
        <v>-1820</v>
      </c>
      <c r="AE181" s="103">
        <v>490</v>
      </c>
      <c r="AF181">
        <v>4.5999999999999996</v>
      </c>
      <c r="AG181">
        <v>3600</v>
      </c>
    </row>
    <row r="182" spans="1:33" x14ac:dyDescent="0.3">
      <c r="A182" t="s">
        <v>59</v>
      </c>
      <c r="B182" s="114">
        <v>460</v>
      </c>
      <c r="C182" s="107" t="s">
        <v>405</v>
      </c>
      <c r="D182">
        <v>16.100000000000001</v>
      </c>
      <c r="E182">
        <v>80</v>
      </c>
      <c r="F182">
        <v>1740</v>
      </c>
      <c r="G182">
        <v>29</v>
      </c>
      <c r="H182" s="102">
        <v>3600</v>
      </c>
      <c r="I182">
        <v>-296.45371460000001</v>
      </c>
      <c r="J182">
        <v>619.39854890000004</v>
      </c>
      <c r="K182">
        <v>-1193.585075</v>
      </c>
      <c r="L182">
        <v>1031.421425</v>
      </c>
      <c r="M182">
        <v>-341.05074059999998</v>
      </c>
      <c r="N182" s="103">
        <v>39.299999999999997</v>
      </c>
      <c r="O182" s="103">
        <v>-8.33</v>
      </c>
      <c r="P182" s="103">
        <v>240</v>
      </c>
      <c r="Q182" s="103">
        <v>-397</v>
      </c>
      <c r="R182" s="103">
        <v>317</v>
      </c>
      <c r="S182" s="103">
        <v>-90.7</v>
      </c>
      <c r="T182" s="103">
        <v>11.6</v>
      </c>
      <c r="U182" s="103">
        <v>192</v>
      </c>
      <c r="V182" s="103">
        <v>-129</v>
      </c>
      <c r="W182" s="103">
        <v>-117</v>
      </c>
      <c r="X182" s="103">
        <v>199</v>
      </c>
      <c r="Y182" s="103">
        <v>-73</v>
      </c>
      <c r="Z182" s="103">
        <v>3.4299999999999999E-4</v>
      </c>
      <c r="AA182" s="103">
        <v>590</v>
      </c>
      <c r="AB182" s="103">
        <v>-1660</v>
      </c>
      <c r="AC182" s="103">
        <v>2300</v>
      </c>
      <c r="AD182" s="103">
        <v>-1560</v>
      </c>
      <c r="AE182" s="103">
        <v>412</v>
      </c>
      <c r="AF182">
        <v>4.5999999999999996</v>
      </c>
      <c r="AG182">
        <v>3600</v>
      </c>
    </row>
    <row r="183" spans="1:33" x14ac:dyDescent="0.3">
      <c r="A183" t="s">
        <v>59</v>
      </c>
      <c r="B183" s="114">
        <v>460</v>
      </c>
      <c r="C183" s="107" t="s">
        <v>406</v>
      </c>
      <c r="D183">
        <v>20</v>
      </c>
      <c r="E183">
        <v>101</v>
      </c>
      <c r="F183">
        <v>2280</v>
      </c>
      <c r="G183">
        <v>28</v>
      </c>
      <c r="H183" s="102">
        <v>3600.06</v>
      </c>
      <c r="I183">
        <v>-166.33917790000001</v>
      </c>
      <c r="J183">
        <v>16.818230620000001</v>
      </c>
      <c r="K183">
        <v>-95.652397260000001</v>
      </c>
      <c r="L183">
        <v>137.21558289999999</v>
      </c>
      <c r="M183">
        <v>-68.301509080000002</v>
      </c>
      <c r="N183" s="103">
        <v>44.8</v>
      </c>
      <c r="O183" s="103">
        <v>3.6600000000000001E-2</v>
      </c>
      <c r="P183" s="103">
        <v>112</v>
      </c>
      <c r="Q183" s="103">
        <v>-70.7</v>
      </c>
      <c r="R183" s="103">
        <v>-2.44</v>
      </c>
      <c r="S183" s="103">
        <v>16.3</v>
      </c>
      <c r="T183" s="103">
        <v>12</v>
      </c>
      <c r="U183" s="103">
        <v>189</v>
      </c>
      <c r="V183" s="103">
        <v>-214</v>
      </c>
      <c r="W183" s="103">
        <v>141</v>
      </c>
      <c r="X183" s="103">
        <v>-60.5</v>
      </c>
      <c r="Y183" s="103">
        <v>14.5</v>
      </c>
      <c r="Z183" s="103">
        <v>2.0500000000000001E-2</v>
      </c>
      <c r="AA183" s="103">
        <v>457</v>
      </c>
      <c r="AB183" s="103">
        <v>-1020</v>
      </c>
      <c r="AC183" s="103">
        <v>1140</v>
      </c>
      <c r="AD183" s="103">
        <v>-633</v>
      </c>
      <c r="AE183" s="103">
        <v>137</v>
      </c>
      <c r="AF183">
        <v>4.5999999999999996</v>
      </c>
      <c r="AG183">
        <v>3600</v>
      </c>
    </row>
    <row r="184" spans="1:33" x14ac:dyDescent="0.3">
      <c r="A184" t="s">
        <v>59</v>
      </c>
      <c r="B184" s="114">
        <v>460</v>
      </c>
      <c r="C184" s="107" t="s">
        <v>407</v>
      </c>
      <c r="D184">
        <v>22.3</v>
      </c>
      <c r="E184">
        <v>129</v>
      </c>
      <c r="F184">
        <v>2520</v>
      </c>
      <c r="G184">
        <v>32</v>
      </c>
      <c r="H184" s="102">
        <v>3599.84</v>
      </c>
      <c r="I184">
        <v>-146.37229740000001</v>
      </c>
      <c r="J184">
        <v>-40.899887239999998</v>
      </c>
      <c r="K184">
        <v>181.22379169999999</v>
      </c>
      <c r="L184">
        <v>-287.39348039999999</v>
      </c>
      <c r="M184">
        <v>114.0055902</v>
      </c>
      <c r="N184" s="103">
        <v>36.6</v>
      </c>
      <c r="O184" s="103">
        <v>16.8</v>
      </c>
      <c r="P184" s="103">
        <v>45.5</v>
      </c>
      <c r="Q184" s="103">
        <v>37.299999999999997</v>
      </c>
      <c r="R184" s="103">
        <v>-62.4</v>
      </c>
      <c r="S184" s="103">
        <v>26.1</v>
      </c>
      <c r="T184" s="103">
        <v>12</v>
      </c>
      <c r="U184" s="103">
        <v>254</v>
      </c>
      <c r="V184" s="103">
        <v>-426</v>
      </c>
      <c r="W184" s="103">
        <v>431</v>
      </c>
      <c r="X184" s="103">
        <v>-242</v>
      </c>
      <c r="Y184" s="103">
        <v>56.6</v>
      </c>
      <c r="Z184" s="103">
        <v>0.24</v>
      </c>
      <c r="AA184" s="103">
        <v>643</v>
      </c>
      <c r="AB184" s="103">
        <v>-2000</v>
      </c>
      <c r="AC184" s="103">
        <v>3010</v>
      </c>
      <c r="AD184" s="103">
        <v>-2160</v>
      </c>
      <c r="AE184" s="103">
        <v>593</v>
      </c>
      <c r="AF184">
        <v>4.5999999999999996</v>
      </c>
      <c r="AG184">
        <v>3600</v>
      </c>
    </row>
    <row r="185" spans="1:33" x14ac:dyDescent="0.3">
      <c r="A185" t="s">
        <v>59</v>
      </c>
      <c r="B185" s="114">
        <v>460</v>
      </c>
      <c r="C185" s="107" t="s">
        <v>408</v>
      </c>
      <c r="D185">
        <v>28.7</v>
      </c>
      <c r="E185">
        <v>200</v>
      </c>
      <c r="F185">
        <v>2820</v>
      </c>
      <c r="G185">
        <v>45.4</v>
      </c>
      <c r="H185" s="102">
        <v>3600</v>
      </c>
      <c r="I185">
        <v>-239.089595</v>
      </c>
      <c r="J185">
        <v>165.0254937</v>
      </c>
      <c r="K185">
        <v>-590.14392090000001</v>
      </c>
      <c r="L185">
        <v>949.91239389999998</v>
      </c>
      <c r="M185">
        <v>-705.81903929999999</v>
      </c>
      <c r="N185" s="103">
        <v>35.299999999999997</v>
      </c>
      <c r="O185" s="103">
        <v>15.6</v>
      </c>
      <c r="P185" s="103">
        <v>159</v>
      </c>
      <c r="Q185" s="103">
        <v>-329</v>
      </c>
      <c r="R185" s="103">
        <v>415</v>
      </c>
      <c r="S185" s="103">
        <v>-265</v>
      </c>
      <c r="T185" s="103">
        <v>0.105</v>
      </c>
      <c r="U185" s="103">
        <v>1.84</v>
      </c>
      <c r="V185" s="103">
        <v>-1.55</v>
      </c>
      <c r="W185" s="103">
        <v>-0.17100000000000001</v>
      </c>
      <c r="X185" s="103">
        <v>1.0900000000000001</v>
      </c>
      <c r="Y185" s="103">
        <v>-0.53900000000000003</v>
      </c>
      <c r="Z185" s="103">
        <v>3.8199999999999998E-2</v>
      </c>
      <c r="AA185" s="103">
        <v>10.1</v>
      </c>
      <c r="AB185" s="103">
        <v>-51.4</v>
      </c>
      <c r="AC185" s="103">
        <v>127</v>
      </c>
      <c r="AD185" s="103">
        <v>-163</v>
      </c>
      <c r="AE185" s="103">
        <v>102</v>
      </c>
      <c r="AF185">
        <v>4.5999999999999996</v>
      </c>
      <c r="AG185">
        <v>3600</v>
      </c>
    </row>
    <row r="186" spans="1:33" x14ac:dyDescent="0.3">
      <c r="A186" t="s">
        <v>59</v>
      </c>
      <c r="B186" s="114">
        <v>460</v>
      </c>
      <c r="C186" s="107" t="s">
        <v>409</v>
      </c>
      <c r="D186">
        <v>44.6</v>
      </c>
      <c r="E186">
        <v>257</v>
      </c>
      <c r="F186">
        <v>2520</v>
      </c>
      <c r="G186">
        <v>63.5</v>
      </c>
      <c r="H186" s="102">
        <v>3600.06</v>
      </c>
      <c r="I186">
        <v>-152.70643179999999</v>
      </c>
      <c r="J186">
        <v>-28.702680999999998</v>
      </c>
      <c r="K186">
        <v>28.886353639999999</v>
      </c>
      <c r="L186">
        <v>-30.859473820000002</v>
      </c>
      <c r="M186">
        <v>10.452890289999999</v>
      </c>
      <c r="N186" s="103">
        <v>40.299999999999997</v>
      </c>
      <c r="O186" s="103">
        <v>16.8</v>
      </c>
      <c r="P186" s="103">
        <v>76.7</v>
      </c>
      <c r="Q186" s="103">
        <v>-104</v>
      </c>
      <c r="R186" s="103">
        <v>103</v>
      </c>
      <c r="S186" s="103">
        <v>-33.200000000000003</v>
      </c>
      <c r="T186" s="103">
        <v>1.96</v>
      </c>
      <c r="U186" s="103">
        <v>236</v>
      </c>
      <c r="V186" s="103">
        <v>-193</v>
      </c>
      <c r="W186" s="103">
        <v>-81.5</v>
      </c>
      <c r="X186" s="103">
        <v>203</v>
      </c>
      <c r="Y186" s="103">
        <v>-81</v>
      </c>
      <c r="Z186" s="103">
        <v>9.8199999999999996E-2</v>
      </c>
      <c r="AA186" s="103">
        <v>632</v>
      </c>
      <c r="AB186" s="103">
        <v>-1990</v>
      </c>
      <c r="AC186" s="103">
        <v>3100</v>
      </c>
      <c r="AD186" s="103">
        <v>-2350</v>
      </c>
      <c r="AE186" s="103">
        <v>680</v>
      </c>
      <c r="AF186">
        <v>4.5999999999999996</v>
      </c>
      <c r="AG186">
        <v>3600</v>
      </c>
    </row>
    <row r="187" spans="1:33" x14ac:dyDescent="0.3">
      <c r="A187" t="s">
        <v>59</v>
      </c>
      <c r="B187" s="114">
        <v>512</v>
      </c>
      <c r="C187" s="107" t="s">
        <v>410</v>
      </c>
      <c r="D187">
        <v>14.1</v>
      </c>
      <c r="E187">
        <v>100</v>
      </c>
      <c r="F187">
        <v>2400</v>
      </c>
      <c r="G187">
        <v>25.2</v>
      </c>
      <c r="H187" s="102">
        <v>3600</v>
      </c>
      <c r="I187">
        <v>-190.29913400000001</v>
      </c>
      <c r="J187">
        <v>-11.33531793</v>
      </c>
      <c r="K187">
        <v>46.105945140000003</v>
      </c>
      <c r="L187">
        <v>-173.94022390000001</v>
      </c>
      <c r="M187">
        <v>193.08168610000001</v>
      </c>
      <c r="N187" s="103">
        <v>38.5</v>
      </c>
      <c r="O187" s="103">
        <v>33.1</v>
      </c>
      <c r="P187" s="103">
        <v>19.600000000000001</v>
      </c>
      <c r="Q187" s="103">
        <v>29.7</v>
      </c>
      <c r="R187" s="103">
        <v>-38.1</v>
      </c>
      <c r="S187" s="103">
        <v>20.5</v>
      </c>
      <c r="T187" s="103">
        <v>9.6000000000000002E-2</v>
      </c>
      <c r="U187" s="103">
        <v>1.87</v>
      </c>
      <c r="V187" s="103">
        <v>-1.62</v>
      </c>
      <c r="W187" s="103">
        <v>0.53500000000000003</v>
      </c>
      <c r="X187" s="103">
        <v>-2.07E-2</v>
      </c>
      <c r="Y187" s="103">
        <v>1.4800000000000001E-2</v>
      </c>
      <c r="Z187" s="103">
        <v>5.8599999999999998E-3</v>
      </c>
      <c r="AA187" s="103">
        <v>9.8000000000000007</v>
      </c>
      <c r="AB187" s="103">
        <v>-46.7</v>
      </c>
      <c r="AC187" s="103">
        <v>111</v>
      </c>
      <c r="AD187" s="103">
        <v>-138</v>
      </c>
      <c r="AE187" s="103">
        <v>85.3</v>
      </c>
      <c r="AF187">
        <v>5.12</v>
      </c>
      <c r="AG187">
        <v>3600</v>
      </c>
    </row>
    <row r="188" spans="1:33" x14ac:dyDescent="0.3">
      <c r="A188" t="s">
        <v>59</v>
      </c>
      <c r="B188" s="114">
        <v>512</v>
      </c>
      <c r="C188" s="107" t="s">
        <v>411</v>
      </c>
      <c r="D188">
        <v>50.8</v>
      </c>
      <c r="E188">
        <v>402</v>
      </c>
      <c r="F188">
        <v>3480</v>
      </c>
      <c r="G188">
        <v>68.5</v>
      </c>
      <c r="H188" s="102">
        <v>3599.96</v>
      </c>
      <c r="I188">
        <v>-161.6717812</v>
      </c>
      <c r="J188">
        <v>-32.679967089999998</v>
      </c>
      <c r="K188">
        <v>-52.63780337</v>
      </c>
      <c r="L188">
        <v>61.291649530000001</v>
      </c>
      <c r="M188">
        <v>-23.75565611</v>
      </c>
      <c r="N188" s="103">
        <v>36.799999999999997</v>
      </c>
      <c r="O188" s="103">
        <v>35.1</v>
      </c>
      <c r="P188" s="103">
        <v>24.7</v>
      </c>
      <c r="Q188" s="103">
        <v>3.38</v>
      </c>
      <c r="R188" s="103">
        <v>1.88</v>
      </c>
      <c r="S188" s="103">
        <v>-1.93</v>
      </c>
      <c r="T188" s="103">
        <v>8.48</v>
      </c>
      <c r="U188" s="103">
        <v>202</v>
      </c>
      <c r="V188" s="103">
        <v>-196</v>
      </c>
      <c r="W188" s="103">
        <v>80.599999999999994</v>
      </c>
      <c r="X188" s="103">
        <v>-6.02</v>
      </c>
      <c r="Y188" s="103">
        <v>-3.21</v>
      </c>
      <c r="Z188" s="103">
        <v>2.38</v>
      </c>
      <c r="AA188" s="103">
        <v>839</v>
      </c>
      <c r="AB188" s="103">
        <v>-3100</v>
      </c>
      <c r="AC188" s="103">
        <v>5210</v>
      </c>
      <c r="AD188" s="103">
        <v>-4030</v>
      </c>
      <c r="AE188" s="103">
        <v>1160</v>
      </c>
      <c r="AF188">
        <v>5.12</v>
      </c>
      <c r="AG188">
        <v>3600</v>
      </c>
    </row>
    <row r="189" spans="1:33" x14ac:dyDescent="0.3">
      <c r="A189" t="s">
        <v>59</v>
      </c>
      <c r="B189" s="114">
        <v>512</v>
      </c>
      <c r="C189" s="107" t="s">
        <v>412</v>
      </c>
      <c r="D189">
        <v>80.900000000000006</v>
      </c>
      <c r="E189">
        <v>640</v>
      </c>
      <c r="F189">
        <v>4320</v>
      </c>
      <c r="G189">
        <v>87.9</v>
      </c>
      <c r="H189" s="102">
        <v>3600</v>
      </c>
      <c r="I189">
        <v>-193.20300810000001</v>
      </c>
      <c r="J189">
        <v>-159.38055979999999</v>
      </c>
      <c r="K189">
        <v>568.65292739999995</v>
      </c>
      <c r="L189">
        <v>-915.55102439999996</v>
      </c>
      <c r="M189">
        <v>680.88520670000003</v>
      </c>
      <c r="N189" s="103">
        <v>35.4</v>
      </c>
      <c r="O189" s="103">
        <v>7.06</v>
      </c>
      <c r="P189" s="103">
        <v>146</v>
      </c>
      <c r="Q189" s="103">
        <v>-244</v>
      </c>
      <c r="R189" s="103">
        <v>319</v>
      </c>
      <c r="S189" s="103">
        <v>-234</v>
      </c>
      <c r="T189" s="103">
        <v>0.11600000000000001</v>
      </c>
      <c r="U189" s="103">
        <v>2.08</v>
      </c>
      <c r="V189" s="103">
        <v>-1.83</v>
      </c>
      <c r="W189" s="103">
        <v>-0.161</v>
      </c>
      <c r="X189" s="103">
        <v>1</v>
      </c>
      <c r="Y189" s="103">
        <v>-0.25700000000000001</v>
      </c>
      <c r="Z189" s="103">
        <v>3.5799999999999998E-2</v>
      </c>
      <c r="AA189" s="103">
        <v>9.9499999999999993</v>
      </c>
      <c r="AB189" s="103">
        <v>-49.2</v>
      </c>
      <c r="AC189" s="103">
        <v>120</v>
      </c>
      <c r="AD189" s="103">
        <v>-152</v>
      </c>
      <c r="AE189" s="103">
        <v>95.6</v>
      </c>
      <c r="AF189">
        <v>5.12</v>
      </c>
      <c r="AG189">
        <v>3600</v>
      </c>
    </row>
    <row r="190" spans="1:33" x14ac:dyDescent="0.3">
      <c r="A190" t="s">
        <v>59</v>
      </c>
      <c r="B190" s="114">
        <v>562</v>
      </c>
      <c r="C190" s="107" t="s">
        <v>413</v>
      </c>
      <c r="D190">
        <v>10.5</v>
      </c>
      <c r="E190">
        <v>100</v>
      </c>
      <c r="F190">
        <v>1476</v>
      </c>
      <c r="G190">
        <v>40</v>
      </c>
      <c r="H190" s="102">
        <v>3600</v>
      </c>
      <c r="I190">
        <v>-193.14355560000001</v>
      </c>
      <c r="J190">
        <v>-160.5727445</v>
      </c>
      <c r="K190">
        <v>573.2152112</v>
      </c>
      <c r="L190">
        <v>-922.86074799999994</v>
      </c>
      <c r="M190">
        <v>686.19543380000005</v>
      </c>
      <c r="N190" s="103">
        <v>38.5</v>
      </c>
      <c r="O190" s="103">
        <v>24.5</v>
      </c>
      <c r="P190" s="103">
        <v>-142</v>
      </c>
      <c r="Q190" s="103">
        <v>691</v>
      </c>
      <c r="R190" s="103">
        <v>-1000</v>
      </c>
      <c r="S190" s="103">
        <v>637</v>
      </c>
      <c r="T190" s="103">
        <v>9.4600000000000004E-2</v>
      </c>
      <c r="U190" s="103">
        <v>1.85</v>
      </c>
      <c r="V190" s="103">
        <v>1.53</v>
      </c>
      <c r="W190" s="103">
        <v>-11</v>
      </c>
      <c r="X190" s="103">
        <v>16</v>
      </c>
      <c r="Y190" s="103">
        <v>-9.82</v>
      </c>
      <c r="Z190" s="103">
        <v>4.5499999999999999E-2</v>
      </c>
      <c r="AA190" s="103">
        <v>10</v>
      </c>
      <c r="AB190" s="103">
        <v>-50.5</v>
      </c>
      <c r="AC190" s="103">
        <v>126</v>
      </c>
      <c r="AD190" s="103">
        <v>-162</v>
      </c>
      <c r="AE190" s="103">
        <v>102</v>
      </c>
      <c r="AF190">
        <v>5.62</v>
      </c>
      <c r="AG190">
        <v>3600</v>
      </c>
    </row>
    <row r="191" spans="1:33" x14ac:dyDescent="0.3">
      <c r="A191" t="s">
        <v>59</v>
      </c>
      <c r="B191" s="114">
        <v>562</v>
      </c>
      <c r="C191" s="107" t="s">
        <v>414</v>
      </c>
      <c r="D191">
        <v>17.899999999999999</v>
      </c>
      <c r="E191">
        <v>200</v>
      </c>
      <c r="F191">
        <v>2916</v>
      </c>
      <c r="G191">
        <v>39</v>
      </c>
      <c r="H191" s="102">
        <v>3600</v>
      </c>
      <c r="I191">
        <v>-246.27356900000001</v>
      </c>
      <c r="J191">
        <v>494.8331862</v>
      </c>
      <c r="K191">
        <v>-1254.549278</v>
      </c>
      <c r="L191">
        <v>1506.760518</v>
      </c>
      <c r="M191">
        <v>-849.21023690000004</v>
      </c>
      <c r="N191" s="103">
        <v>32.6</v>
      </c>
      <c r="O191" s="103">
        <v>39.9</v>
      </c>
      <c r="P191" s="103">
        <v>-109</v>
      </c>
      <c r="Q191" s="103">
        <v>602</v>
      </c>
      <c r="R191" s="103">
        <v>-1040</v>
      </c>
      <c r="S191" s="103">
        <v>804</v>
      </c>
      <c r="T191" s="103">
        <v>0.126</v>
      </c>
      <c r="U191" s="103">
        <v>2.61</v>
      </c>
      <c r="V191" s="103">
        <v>-4.42</v>
      </c>
      <c r="W191" s="103">
        <v>5.38</v>
      </c>
      <c r="X191" s="103">
        <v>-4.8499999999999996</v>
      </c>
      <c r="Y191" s="103">
        <v>2.61</v>
      </c>
      <c r="Z191" s="103">
        <v>3.1000000000000001E-5</v>
      </c>
      <c r="AA191" s="103">
        <v>6.9</v>
      </c>
      <c r="AB191" s="103">
        <v>-24.2</v>
      </c>
      <c r="AC191" s="103">
        <v>46.1</v>
      </c>
      <c r="AD191" s="103">
        <v>-48.7</v>
      </c>
      <c r="AE191" s="103">
        <v>26.7</v>
      </c>
      <c r="AF191">
        <v>5.62</v>
      </c>
      <c r="AG191">
        <v>3600</v>
      </c>
    </row>
    <row r="192" spans="1:33" x14ac:dyDescent="0.3">
      <c r="A192" t="s">
        <v>59</v>
      </c>
      <c r="B192" s="114">
        <v>562</v>
      </c>
      <c r="C192" s="107" t="s">
        <v>415</v>
      </c>
      <c r="D192">
        <v>23.8</v>
      </c>
      <c r="E192">
        <v>297</v>
      </c>
      <c r="F192">
        <v>2880</v>
      </c>
      <c r="G192">
        <v>62</v>
      </c>
      <c r="H192" s="102">
        <v>3600.19</v>
      </c>
      <c r="I192">
        <v>-178.16077089999999</v>
      </c>
      <c r="J192">
        <v>93.293226689999997</v>
      </c>
      <c r="K192">
        <v>-224.75850059999999</v>
      </c>
      <c r="L192">
        <v>242.81866600000001</v>
      </c>
      <c r="M192">
        <v>-95.599204189999995</v>
      </c>
      <c r="N192" s="103">
        <v>32.1</v>
      </c>
      <c r="O192" s="103">
        <v>68</v>
      </c>
      <c r="P192" s="103">
        <v>-78</v>
      </c>
      <c r="Q192" s="103">
        <v>179</v>
      </c>
      <c r="R192" s="103">
        <v>-145</v>
      </c>
      <c r="S192" s="103">
        <v>44.3</v>
      </c>
      <c r="T192" s="103">
        <v>10.8</v>
      </c>
      <c r="U192" s="103">
        <v>279</v>
      </c>
      <c r="V192" s="103">
        <v>-618</v>
      </c>
      <c r="W192" s="103">
        <v>853</v>
      </c>
      <c r="X192" s="103">
        <v>-617</v>
      </c>
      <c r="Y192" s="103">
        <v>176</v>
      </c>
      <c r="Z192" s="103">
        <v>5.2900000000000003E-2</v>
      </c>
      <c r="AA192" s="103">
        <v>509</v>
      </c>
      <c r="AB192" s="103">
        <v>-1260</v>
      </c>
      <c r="AC192" s="103">
        <v>1620</v>
      </c>
      <c r="AD192" s="103">
        <v>-1060</v>
      </c>
      <c r="AE192" s="103">
        <v>272</v>
      </c>
      <c r="AF192">
        <v>5.62</v>
      </c>
      <c r="AG192">
        <v>3600</v>
      </c>
    </row>
    <row r="193" spans="1:34" x14ac:dyDescent="0.3">
      <c r="A193" t="s">
        <v>59</v>
      </c>
      <c r="B193" s="114">
        <v>562</v>
      </c>
      <c r="C193" s="107" t="s">
        <v>416</v>
      </c>
      <c r="D193">
        <v>19.3</v>
      </c>
      <c r="E193">
        <v>240</v>
      </c>
      <c r="F193">
        <v>2880</v>
      </c>
      <c r="G193">
        <v>48.6</v>
      </c>
      <c r="H193" s="102">
        <v>3600</v>
      </c>
      <c r="I193">
        <v>-166.57745610000001</v>
      </c>
      <c r="J193">
        <v>-486.40159390000002</v>
      </c>
      <c r="K193">
        <v>2165.6561860000002</v>
      </c>
      <c r="L193">
        <v>-4267.5458150000004</v>
      </c>
      <c r="M193">
        <v>3844.4528310000001</v>
      </c>
      <c r="N193" s="103">
        <v>32.1</v>
      </c>
      <c r="O193" s="103">
        <v>24.1</v>
      </c>
      <c r="P193" s="103">
        <v>55.2</v>
      </c>
      <c r="Q193" s="103">
        <v>60.7</v>
      </c>
      <c r="R193" s="103">
        <v>-295</v>
      </c>
      <c r="S193" s="103">
        <v>389</v>
      </c>
      <c r="T193" s="103">
        <v>0.113</v>
      </c>
      <c r="U193" s="103">
        <v>3.62</v>
      </c>
      <c r="V193" s="103">
        <v>-10.6</v>
      </c>
      <c r="W193" s="103">
        <v>21.4</v>
      </c>
      <c r="X193" s="103">
        <v>-26.2</v>
      </c>
      <c r="Y193" s="103">
        <v>17.100000000000001</v>
      </c>
      <c r="Z193" s="103">
        <v>1.42E-5</v>
      </c>
      <c r="AA193" s="103">
        <v>7.24</v>
      </c>
      <c r="AB193" s="103">
        <v>-26.6</v>
      </c>
      <c r="AC193" s="103">
        <v>53.2</v>
      </c>
      <c r="AD193" s="103">
        <v>-60</v>
      </c>
      <c r="AE193" s="103">
        <v>35.799999999999997</v>
      </c>
      <c r="AF193">
        <v>5.62</v>
      </c>
      <c r="AG193">
        <v>3600</v>
      </c>
    </row>
    <row r="194" spans="1:34" x14ac:dyDescent="0.3">
      <c r="A194" t="s">
        <v>59</v>
      </c>
      <c r="B194" s="114">
        <v>562</v>
      </c>
      <c r="C194" s="107" t="s">
        <v>417</v>
      </c>
      <c r="D194">
        <v>25.2</v>
      </c>
      <c r="E194">
        <v>310</v>
      </c>
      <c r="F194">
        <v>2916</v>
      </c>
      <c r="G194">
        <v>60</v>
      </c>
      <c r="H194" s="102">
        <v>3600</v>
      </c>
      <c r="I194">
        <v>-184.67209769999999</v>
      </c>
      <c r="J194">
        <v>195.92159889999999</v>
      </c>
      <c r="K194">
        <v>-768.84959030000005</v>
      </c>
      <c r="L194">
        <v>1294.5648369999999</v>
      </c>
      <c r="M194">
        <v>-997.03167310000003</v>
      </c>
      <c r="N194" s="103">
        <v>27.8</v>
      </c>
      <c r="O194" s="103">
        <v>36.200000000000003</v>
      </c>
      <c r="P194" s="103">
        <v>73.400000000000006</v>
      </c>
      <c r="Q194" s="103">
        <v>-110</v>
      </c>
      <c r="R194" s="103">
        <v>153</v>
      </c>
      <c r="S194" s="103">
        <v>-119</v>
      </c>
      <c r="T194" s="103">
        <v>0.13200000000000001</v>
      </c>
      <c r="U194" s="103">
        <v>3.25</v>
      </c>
      <c r="V194" s="103">
        <v>-8.2899999999999991</v>
      </c>
      <c r="W194" s="103">
        <v>14.6</v>
      </c>
      <c r="X194" s="103">
        <v>-15.9</v>
      </c>
      <c r="Y194" s="103">
        <v>9.32</v>
      </c>
      <c r="Z194" s="103">
        <v>4.8999999999999998E-5</v>
      </c>
      <c r="AA194" s="103">
        <v>4.9400000000000004</v>
      </c>
      <c r="AB194" s="103">
        <v>-12.6</v>
      </c>
      <c r="AC194" s="103">
        <v>19.100000000000001</v>
      </c>
      <c r="AD194" s="103">
        <v>-17.8</v>
      </c>
      <c r="AE194" s="103">
        <v>9.2899999999999991</v>
      </c>
      <c r="AF194">
        <v>5.62</v>
      </c>
      <c r="AG194">
        <v>3600</v>
      </c>
    </row>
    <row r="195" spans="1:34" x14ac:dyDescent="0.3">
      <c r="A195" t="s">
        <v>59</v>
      </c>
      <c r="B195" s="114">
        <v>562</v>
      </c>
      <c r="C195" s="107" t="s">
        <v>418</v>
      </c>
      <c r="D195">
        <v>26.7</v>
      </c>
      <c r="E195">
        <v>354</v>
      </c>
      <c r="F195">
        <v>3120</v>
      </c>
      <c r="G195">
        <v>65</v>
      </c>
      <c r="H195" s="102">
        <v>3600.05</v>
      </c>
      <c r="I195">
        <v>-215.19100169999999</v>
      </c>
      <c r="J195">
        <v>116.6049364</v>
      </c>
      <c r="K195">
        <v>-215.1090399</v>
      </c>
      <c r="L195">
        <v>190.34278850000001</v>
      </c>
      <c r="M195">
        <v>-64.32104554</v>
      </c>
      <c r="N195" s="103">
        <v>22.1</v>
      </c>
      <c r="O195" s="103">
        <v>53.1</v>
      </c>
      <c r="P195" s="103">
        <v>18</v>
      </c>
      <c r="Q195" s="103">
        <v>19</v>
      </c>
      <c r="R195" s="103">
        <v>-24.7</v>
      </c>
      <c r="S195" s="103">
        <v>12.7</v>
      </c>
      <c r="T195" s="103">
        <v>15.1</v>
      </c>
      <c r="U195" s="103">
        <v>311</v>
      </c>
      <c r="V195" s="103">
        <v>-729</v>
      </c>
      <c r="W195" s="103">
        <v>1030</v>
      </c>
      <c r="X195" s="103">
        <v>-747</v>
      </c>
      <c r="Y195" s="103">
        <v>213</v>
      </c>
      <c r="Z195" s="103">
        <v>4.4699999999999997E-2</v>
      </c>
      <c r="AA195" s="103">
        <v>545</v>
      </c>
      <c r="AB195" s="103">
        <v>-1410</v>
      </c>
      <c r="AC195" s="103">
        <v>1860</v>
      </c>
      <c r="AD195" s="103">
        <v>-1240</v>
      </c>
      <c r="AE195" s="103">
        <v>325</v>
      </c>
      <c r="AF195">
        <v>5.62</v>
      </c>
      <c r="AG195">
        <v>3600</v>
      </c>
    </row>
    <row r="196" spans="1:34" x14ac:dyDescent="0.3">
      <c r="A196" t="s">
        <v>59</v>
      </c>
      <c r="B196" s="114">
        <v>562</v>
      </c>
      <c r="C196" s="107" t="s">
        <v>419</v>
      </c>
      <c r="D196">
        <v>35.200000000000003</v>
      </c>
      <c r="E196">
        <v>418</v>
      </c>
      <c r="F196">
        <v>3960</v>
      </c>
      <c r="G196">
        <v>61.5</v>
      </c>
      <c r="H196" s="102">
        <v>3600.05</v>
      </c>
      <c r="I196">
        <v>-152.959847</v>
      </c>
      <c r="J196">
        <v>-105.3361135</v>
      </c>
      <c r="K196">
        <v>190.99797029999999</v>
      </c>
      <c r="L196">
        <v>-141.28803640000001</v>
      </c>
      <c r="M196">
        <v>35.708315900000002</v>
      </c>
      <c r="N196" s="103">
        <v>33.299999999999997</v>
      </c>
      <c r="O196" s="103">
        <v>35.200000000000003</v>
      </c>
      <c r="P196" s="103">
        <v>44</v>
      </c>
      <c r="Q196" s="103">
        <v>-34.200000000000003</v>
      </c>
      <c r="R196" s="103">
        <v>32.5</v>
      </c>
      <c r="S196" s="103">
        <v>-10.8</v>
      </c>
      <c r="T196" s="103">
        <v>12.7</v>
      </c>
      <c r="U196" s="103">
        <v>299</v>
      </c>
      <c r="V196" s="103">
        <v>-652</v>
      </c>
      <c r="W196" s="103">
        <v>855</v>
      </c>
      <c r="X196" s="103">
        <v>-590</v>
      </c>
      <c r="Y196" s="103">
        <v>161</v>
      </c>
      <c r="Z196" s="103">
        <v>3.1699999999999999E-2</v>
      </c>
      <c r="AA196" s="103">
        <v>546</v>
      </c>
      <c r="AB196" s="103">
        <v>-1410</v>
      </c>
      <c r="AC196" s="103">
        <v>1840</v>
      </c>
      <c r="AD196" s="103">
        <v>-1200</v>
      </c>
      <c r="AE196" s="103">
        <v>308</v>
      </c>
      <c r="AF196">
        <v>5.62</v>
      </c>
      <c r="AG196">
        <v>3600</v>
      </c>
    </row>
    <row r="197" spans="1:34" x14ac:dyDescent="0.3">
      <c r="A197" t="s">
        <v>59</v>
      </c>
      <c r="B197" s="114">
        <v>562</v>
      </c>
      <c r="C197" s="107" t="s">
        <v>420</v>
      </c>
      <c r="D197">
        <v>38.200000000000003</v>
      </c>
      <c r="E197">
        <v>476</v>
      </c>
      <c r="F197">
        <v>4320</v>
      </c>
      <c r="G197">
        <v>63.5</v>
      </c>
      <c r="H197" s="102">
        <v>3600.08</v>
      </c>
      <c r="I197">
        <v>-204.5705705</v>
      </c>
      <c r="J197">
        <v>106.90503080000001</v>
      </c>
      <c r="K197">
        <v>-285.09899589999998</v>
      </c>
      <c r="L197">
        <v>330.50862289999998</v>
      </c>
      <c r="M197">
        <v>-131.57867490000001</v>
      </c>
      <c r="N197" s="103">
        <v>37.799999999999997</v>
      </c>
      <c r="O197" s="103">
        <v>52.1</v>
      </c>
      <c r="P197" s="103">
        <v>-18.399999999999999</v>
      </c>
      <c r="Q197" s="103">
        <v>103</v>
      </c>
      <c r="R197" s="103">
        <v>-126</v>
      </c>
      <c r="S197" s="103">
        <v>51.8</v>
      </c>
      <c r="T197" s="103">
        <v>10.1</v>
      </c>
      <c r="U197" s="103">
        <v>405</v>
      </c>
      <c r="V197" s="103">
        <v>-1080</v>
      </c>
      <c r="W197" s="103">
        <v>1630</v>
      </c>
      <c r="X197" s="103">
        <v>-1230</v>
      </c>
      <c r="Y197" s="103">
        <v>360</v>
      </c>
      <c r="Z197" s="103">
        <v>0.14000000000000001</v>
      </c>
      <c r="AA197" s="103">
        <v>680</v>
      </c>
      <c r="AB197" s="103">
        <v>-2130</v>
      </c>
      <c r="AC197" s="103">
        <v>3250</v>
      </c>
      <c r="AD197" s="103">
        <v>-2390</v>
      </c>
      <c r="AE197" s="103">
        <v>677</v>
      </c>
      <c r="AF197">
        <v>5.62</v>
      </c>
      <c r="AG197">
        <v>3600</v>
      </c>
    </row>
    <row r="198" spans="1:34" x14ac:dyDescent="0.3">
      <c r="A198" t="s">
        <v>59</v>
      </c>
      <c r="B198" s="114">
        <v>562</v>
      </c>
      <c r="C198" s="107" t="s">
        <v>421</v>
      </c>
      <c r="D198">
        <v>41.2</v>
      </c>
      <c r="E198">
        <v>508</v>
      </c>
      <c r="F198">
        <v>4704</v>
      </c>
      <c r="G198">
        <v>62.5</v>
      </c>
      <c r="H198" s="102">
        <v>3600.03</v>
      </c>
      <c r="I198">
        <v>-210.43343640000001</v>
      </c>
      <c r="J198">
        <v>203.6019096</v>
      </c>
      <c r="K198">
        <v>-465.86791549999998</v>
      </c>
      <c r="L198">
        <v>447.52517419999998</v>
      </c>
      <c r="M198">
        <v>-151.39150889999999</v>
      </c>
      <c r="N198" s="103">
        <v>35.4</v>
      </c>
      <c r="O198" s="103">
        <v>37</v>
      </c>
      <c r="P198" s="103">
        <v>18.3</v>
      </c>
      <c r="Q198" s="103">
        <v>12.3</v>
      </c>
      <c r="R198" s="103">
        <v>-0.66300000000000003</v>
      </c>
      <c r="S198" s="103">
        <v>-2.31</v>
      </c>
      <c r="T198" s="103">
        <v>10.9</v>
      </c>
      <c r="U198" s="103">
        <v>397</v>
      </c>
      <c r="V198" s="103">
        <v>-1060</v>
      </c>
      <c r="W198" s="103">
        <v>1580</v>
      </c>
      <c r="X198" s="103">
        <v>-1180</v>
      </c>
      <c r="Y198" s="103">
        <v>342</v>
      </c>
      <c r="Z198" s="103">
        <v>0.24399999999999999</v>
      </c>
      <c r="AA198" s="103">
        <v>637</v>
      </c>
      <c r="AB198" s="103">
        <v>-1880</v>
      </c>
      <c r="AC198" s="103">
        <v>2740</v>
      </c>
      <c r="AD198" s="103">
        <v>-1950</v>
      </c>
      <c r="AE198" s="103">
        <v>535</v>
      </c>
      <c r="AF198">
        <v>5.62</v>
      </c>
      <c r="AG198">
        <v>3600</v>
      </c>
    </row>
    <row r="199" spans="1:34" x14ac:dyDescent="0.3">
      <c r="A199" t="s">
        <v>59</v>
      </c>
      <c r="B199" s="114">
        <v>562</v>
      </c>
      <c r="C199" s="107" t="s">
        <v>422</v>
      </c>
      <c r="D199">
        <v>50</v>
      </c>
      <c r="E199">
        <v>644</v>
      </c>
      <c r="F199">
        <v>4392</v>
      </c>
      <c r="G199">
        <v>84</v>
      </c>
      <c r="H199" s="102">
        <v>3600.03</v>
      </c>
      <c r="I199">
        <v>-169.55138980000001</v>
      </c>
      <c r="J199">
        <v>68.159562399999999</v>
      </c>
      <c r="K199">
        <v>-211.3585114</v>
      </c>
      <c r="L199">
        <v>210.01345760000001</v>
      </c>
      <c r="M199">
        <v>-77.392081709999999</v>
      </c>
      <c r="N199" s="103">
        <v>35.700000000000003</v>
      </c>
      <c r="O199" s="103">
        <v>31</v>
      </c>
      <c r="P199" s="103">
        <v>14.2</v>
      </c>
      <c r="Q199" s="103">
        <v>79.900000000000006</v>
      </c>
      <c r="R199" s="103">
        <v>-103</v>
      </c>
      <c r="S199" s="103">
        <v>42.7</v>
      </c>
      <c r="T199" s="103">
        <v>10.6</v>
      </c>
      <c r="U199" s="103">
        <v>246</v>
      </c>
      <c r="V199" s="103">
        <v>-448</v>
      </c>
      <c r="W199" s="103">
        <v>590</v>
      </c>
      <c r="X199" s="103">
        <v>-447</v>
      </c>
      <c r="Y199" s="103">
        <v>137</v>
      </c>
      <c r="Z199" s="103">
        <v>7.2700000000000001E-2</v>
      </c>
      <c r="AA199" s="103">
        <v>562</v>
      </c>
      <c r="AB199" s="103">
        <v>-1500</v>
      </c>
      <c r="AC199" s="103">
        <v>2030</v>
      </c>
      <c r="AD199" s="103">
        <v>-1370</v>
      </c>
      <c r="AE199" s="103">
        <v>361</v>
      </c>
      <c r="AF199">
        <v>5.62</v>
      </c>
      <c r="AG199">
        <v>3600</v>
      </c>
    </row>
    <row r="200" spans="1:34" x14ac:dyDescent="0.3">
      <c r="A200" t="s">
        <v>59</v>
      </c>
      <c r="B200" s="114">
        <v>562</v>
      </c>
      <c r="C200" s="107" t="s">
        <v>423</v>
      </c>
      <c r="D200">
        <v>70.3</v>
      </c>
      <c r="E200">
        <v>891</v>
      </c>
      <c r="F200">
        <v>4800</v>
      </c>
      <c r="G200">
        <v>107.5</v>
      </c>
      <c r="H200" s="102">
        <v>3600.15</v>
      </c>
      <c r="I200">
        <v>-167.23451850000001</v>
      </c>
      <c r="J200">
        <v>52.958540550000002</v>
      </c>
      <c r="K200">
        <v>-60.221955469999997</v>
      </c>
      <c r="L200">
        <v>-5.0144751359999997</v>
      </c>
      <c r="M200">
        <v>5.8969526749999996</v>
      </c>
      <c r="N200" s="103">
        <v>38.1</v>
      </c>
      <c r="O200" s="103">
        <v>29.1</v>
      </c>
      <c r="P200" s="103">
        <v>56.3</v>
      </c>
      <c r="Q200" s="103">
        <v>-59.8</v>
      </c>
      <c r="R200" s="103">
        <v>38.200000000000003</v>
      </c>
      <c r="S200" s="103">
        <v>-1.49</v>
      </c>
      <c r="T200" s="103">
        <v>17.600000000000001</v>
      </c>
      <c r="U200" s="103">
        <v>264</v>
      </c>
      <c r="V200" s="103">
        <v>-570</v>
      </c>
      <c r="W200" s="103">
        <v>753</v>
      </c>
      <c r="X200" s="103">
        <v>-518</v>
      </c>
      <c r="Y200" s="103">
        <v>141</v>
      </c>
      <c r="Z200" s="103">
        <v>0.39800000000000002</v>
      </c>
      <c r="AA200" s="103">
        <v>679</v>
      </c>
      <c r="AB200" s="103">
        <v>-2140</v>
      </c>
      <c r="AC200" s="103">
        <v>3280</v>
      </c>
      <c r="AD200" s="103">
        <v>-2420</v>
      </c>
      <c r="AE200" s="103">
        <v>686</v>
      </c>
      <c r="AF200">
        <v>5.62</v>
      </c>
      <c r="AG200">
        <v>3600</v>
      </c>
    </row>
    <row r="201" spans="1:34" x14ac:dyDescent="0.3">
      <c r="A201" t="s">
        <v>424</v>
      </c>
      <c r="B201" s="114" t="s">
        <v>378</v>
      </c>
      <c r="C201" t="s">
        <v>524</v>
      </c>
      <c r="D201">
        <v>25.7</v>
      </c>
      <c r="E201">
        <v>330</v>
      </c>
      <c r="F201">
        <v>1950</v>
      </c>
      <c r="G201">
        <v>102.5</v>
      </c>
      <c r="H201">
        <v>3497</v>
      </c>
      <c r="I201">
        <v>-63.32</v>
      </c>
      <c r="J201">
        <v>-44.244999999999997</v>
      </c>
      <c r="K201">
        <v>705.63</v>
      </c>
      <c r="L201">
        <v>-1034.9000000000001</v>
      </c>
      <c r="M201">
        <v>418.1</v>
      </c>
      <c r="N201">
        <v>40.698999999999998</v>
      </c>
      <c r="O201">
        <v>42.497999999999998</v>
      </c>
      <c r="P201">
        <v>23.943999999999999</v>
      </c>
      <c r="Q201">
        <v>-64.594999999999999</v>
      </c>
      <c r="R201">
        <v>99.617999999999995</v>
      </c>
      <c r="S201">
        <v>-42.015999999999998</v>
      </c>
      <c r="T201">
        <v>124.23</v>
      </c>
      <c r="U201">
        <v>-275.95999999999998</v>
      </c>
      <c r="V201">
        <v>801.35</v>
      </c>
      <c r="W201">
        <v>-1121.7</v>
      </c>
      <c r="X201">
        <v>720.12</v>
      </c>
      <c r="Y201">
        <v>-166.88</v>
      </c>
      <c r="Z201">
        <v>95.379000000000005</v>
      </c>
      <c r="AA201">
        <v>-94.293999999999997</v>
      </c>
      <c r="AB201">
        <v>361.45</v>
      </c>
      <c r="AC201">
        <v>-611.59</v>
      </c>
      <c r="AD201">
        <v>493.84</v>
      </c>
      <c r="AE201">
        <v>-156.4</v>
      </c>
      <c r="AF201">
        <v>5.62</v>
      </c>
      <c r="AG201">
        <v>3495</v>
      </c>
      <c r="AH201">
        <v>950</v>
      </c>
    </row>
    <row r="202" spans="1:34" x14ac:dyDescent="0.3">
      <c r="A202" t="s">
        <v>424</v>
      </c>
      <c r="B202" s="114" t="s">
        <v>378</v>
      </c>
      <c r="C202" t="s">
        <v>525</v>
      </c>
      <c r="D202">
        <v>25.7</v>
      </c>
      <c r="E202">
        <v>287</v>
      </c>
      <c r="F202">
        <v>1567</v>
      </c>
      <c r="G202">
        <v>92.596774922083213</v>
      </c>
      <c r="H202">
        <v>3497</v>
      </c>
      <c r="I202">
        <v>-63.32</v>
      </c>
      <c r="J202">
        <v>-44.244999999999997</v>
      </c>
      <c r="K202">
        <v>705.63</v>
      </c>
      <c r="L202">
        <v>-1034.9000000000001</v>
      </c>
      <c r="M202">
        <v>418.1</v>
      </c>
      <c r="N202">
        <v>40.698999999999998</v>
      </c>
      <c r="O202">
        <v>42.497999999999998</v>
      </c>
      <c r="P202">
        <v>23.943999999999999</v>
      </c>
      <c r="Q202">
        <v>-64.594999999999999</v>
      </c>
      <c r="R202">
        <v>99.617999999999995</v>
      </c>
      <c r="S202">
        <v>-42.015999999999998</v>
      </c>
      <c r="T202">
        <v>124.23</v>
      </c>
      <c r="U202">
        <v>-275.95999999999998</v>
      </c>
      <c r="V202">
        <v>801.35</v>
      </c>
      <c r="W202">
        <v>-1121.7</v>
      </c>
      <c r="X202">
        <v>720.12</v>
      </c>
      <c r="Y202">
        <v>-166.88</v>
      </c>
      <c r="Z202">
        <v>95.379000000000005</v>
      </c>
      <c r="AA202">
        <v>-94.293999999999997</v>
      </c>
      <c r="AB202">
        <v>361.45</v>
      </c>
      <c r="AC202">
        <v>-611.59</v>
      </c>
      <c r="AD202">
        <v>493.84</v>
      </c>
      <c r="AE202">
        <v>-156.4</v>
      </c>
      <c r="AF202">
        <v>5.62</v>
      </c>
      <c r="AG202">
        <v>3495</v>
      </c>
      <c r="AH202">
        <v>950</v>
      </c>
    </row>
    <row r="203" spans="1:34" x14ac:dyDescent="0.3">
      <c r="A203" t="s">
        <v>424</v>
      </c>
      <c r="B203" s="114" t="s">
        <v>378</v>
      </c>
      <c r="C203" t="s">
        <v>526</v>
      </c>
      <c r="D203">
        <v>34</v>
      </c>
      <c r="E203">
        <v>782</v>
      </c>
      <c r="F203">
        <v>2773</v>
      </c>
      <c r="G203">
        <v>160.80000000000001</v>
      </c>
      <c r="H203">
        <v>3497</v>
      </c>
      <c r="I203">
        <v>-63.32</v>
      </c>
      <c r="J203">
        <v>-44.244999999999997</v>
      </c>
      <c r="K203">
        <v>705.63</v>
      </c>
      <c r="L203">
        <v>-1034.9000000000001</v>
      </c>
      <c r="M203">
        <v>418.1</v>
      </c>
      <c r="N203">
        <v>40.698999999999998</v>
      </c>
      <c r="O203">
        <v>42.497999999999998</v>
      </c>
      <c r="P203">
        <v>23.943999999999999</v>
      </c>
      <c r="Q203">
        <v>-64.594999999999999</v>
      </c>
      <c r="R203">
        <v>99.617999999999995</v>
      </c>
      <c r="S203">
        <v>-42.015999999999998</v>
      </c>
      <c r="T203">
        <v>124.23</v>
      </c>
      <c r="U203">
        <v>-275.95999999999998</v>
      </c>
      <c r="V203">
        <v>801.35</v>
      </c>
      <c r="W203">
        <v>-1121.7</v>
      </c>
      <c r="X203">
        <v>720.12</v>
      </c>
      <c r="Y203">
        <v>-166.88</v>
      </c>
      <c r="Z203">
        <v>95.379000000000005</v>
      </c>
      <c r="AA203">
        <v>-94.293999999999997</v>
      </c>
      <c r="AB203">
        <v>361.45</v>
      </c>
      <c r="AC203">
        <v>-611.59</v>
      </c>
      <c r="AD203">
        <v>493.84</v>
      </c>
      <c r="AE203">
        <v>-156.4</v>
      </c>
      <c r="AF203">
        <v>5.62</v>
      </c>
      <c r="AG203">
        <v>3495</v>
      </c>
      <c r="AH203">
        <v>950</v>
      </c>
    </row>
    <row r="204" spans="1:34" x14ac:dyDescent="0.3">
      <c r="A204" t="s">
        <v>424</v>
      </c>
      <c r="B204" s="114" t="s">
        <v>378</v>
      </c>
      <c r="C204" t="s">
        <v>527</v>
      </c>
      <c r="D204">
        <v>34</v>
      </c>
      <c r="E204">
        <v>730</v>
      </c>
      <c r="F204">
        <v>2844</v>
      </c>
      <c r="G204">
        <v>155</v>
      </c>
      <c r="H204">
        <v>3497</v>
      </c>
      <c r="I204">
        <v>-63.32</v>
      </c>
      <c r="J204">
        <v>-44.244999999999997</v>
      </c>
      <c r="K204">
        <v>705.63</v>
      </c>
      <c r="L204">
        <v>-1034.9000000000001</v>
      </c>
      <c r="M204">
        <v>418.1</v>
      </c>
      <c r="N204">
        <v>40.698999999999998</v>
      </c>
      <c r="O204">
        <v>42.497999999999998</v>
      </c>
      <c r="P204">
        <v>23.943999999999999</v>
      </c>
      <c r="Q204">
        <v>-64.594999999999999</v>
      </c>
      <c r="R204">
        <v>99.617999999999995</v>
      </c>
      <c r="S204">
        <v>-42.015999999999998</v>
      </c>
      <c r="T204">
        <v>124.23</v>
      </c>
      <c r="U204">
        <v>-275.95999999999998</v>
      </c>
      <c r="V204">
        <v>801.35</v>
      </c>
      <c r="W204">
        <v>-1121.7</v>
      </c>
      <c r="X204">
        <v>720.12</v>
      </c>
      <c r="Y204">
        <v>-166.88</v>
      </c>
      <c r="Z204">
        <v>95.379000000000005</v>
      </c>
      <c r="AA204">
        <v>-94.293999999999997</v>
      </c>
      <c r="AB204">
        <v>361.45</v>
      </c>
      <c r="AC204">
        <v>-611.59</v>
      </c>
      <c r="AD204">
        <v>493.84</v>
      </c>
      <c r="AE204">
        <v>-156.4</v>
      </c>
      <c r="AF204">
        <v>5.62</v>
      </c>
      <c r="AG204">
        <v>3495</v>
      </c>
      <c r="AH204">
        <v>950</v>
      </c>
    </row>
    <row r="205" spans="1:34" x14ac:dyDescent="0.3">
      <c r="A205" t="s">
        <v>424</v>
      </c>
      <c r="B205" s="114" t="s">
        <v>378</v>
      </c>
      <c r="C205" t="s">
        <v>528</v>
      </c>
      <c r="D205">
        <v>34</v>
      </c>
      <c r="E205">
        <v>391</v>
      </c>
      <c r="F205">
        <v>1454</v>
      </c>
      <c r="G205">
        <v>160.80000000000001</v>
      </c>
      <c r="H205">
        <v>3497</v>
      </c>
      <c r="I205">
        <v>-63.32</v>
      </c>
      <c r="J205">
        <v>-44.244999999999997</v>
      </c>
      <c r="K205">
        <v>705.63</v>
      </c>
      <c r="L205">
        <v>-1034.9000000000001</v>
      </c>
      <c r="M205">
        <v>418.1</v>
      </c>
      <c r="N205">
        <v>40.698999999999998</v>
      </c>
      <c r="O205">
        <v>42.497999999999998</v>
      </c>
      <c r="P205">
        <v>23.943999999999999</v>
      </c>
      <c r="Q205">
        <v>-64.594999999999999</v>
      </c>
      <c r="R205">
        <v>99.617999999999995</v>
      </c>
      <c r="S205">
        <v>-42.015999999999998</v>
      </c>
      <c r="T205">
        <v>124.23</v>
      </c>
      <c r="U205">
        <v>-275.95999999999998</v>
      </c>
      <c r="V205">
        <v>801.35</v>
      </c>
      <c r="W205">
        <v>-1121.7</v>
      </c>
      <c r="X205">
        <v>720.12</v>
      </c>
      <c r="Y205">
        <v>-166.88</v>
      </c>
      <c r="Z205">
        <v>95.379000000000005</v>
      </c>
      <c r="AA205">
        <v>-94.293999999999997</v>
      </c>
      <c r="AB205">
        <v>361.45</v>
      </c>
      <c r="AC205">
        <v>-611.59</v>
      </c>
      <c r="AD205">
        <v>493.84</v>
      </c>
      <c r="AE205">
        <v>-156.4</v>
      </c>
      <c r="AF205">
        <v>5.62</v>
      </c>
      <c r="AG205">
        <v>3495</v>
      </c>
      <c r="AH205">
        <v>950</v>
      </c>
    </row>
    <row r="206" spans="1:34" x14ac:dyDescent="0.3">
      <c r="A206" t="s">
        <v>424</v>
      </c>
      <c r="B206" s="114" t="s">
        <v>378</v>
      </c>
      <c r="C206" t="s">
        <v>529</v>
      </c>
      <c r="D206">
        <v>18</v>
      </c>
      <c r="E206">
        <v>104</v>
      </c>
      <c r="F206">
        <v>2832</v>
      </c>
      <c r="G206">
        <v>22</v>
      </c>
      <c r="H206">
        <v>3497</v>
      </c>
      <c r="I206">
        <v>-63.32</v>
      </c>
      <c r="J206">
        <v>-44.244999999999997</v>
      </c>
      <c r="K206">
        <v>705.63</v>
      </c>
      <c r="L206">
        <v>-1034.9000000000001</v>
      </c>
      <c r="M206">
        <v>418.1</v>
      </c>
      <c r="N206">
        <v>40.698999999999998</v>
      </c>
      <c r="O206">
        <v>42.497999999999998</v>
      </c>
      <c r="P206">
        <v>23.943999999999999</v>
      </c>
      <c r="Q206">
        <v>-64.594999999999999</v>
      </c>
      <c r="R206">
        <v>99.617999999999995</v>
      </c>
      <c r="S206">
        <v>-42.015999999999998</v>
      </c>
      <c r="T206">
        <v>124.23</v>
      </c>
      <c r="U206">
        <v>-275.95999999999998</v>
      </c>
      <c r="V206">
        <v>801.35</v>
      </c>
      <c r="W206">
        <v>-1121.7</v>
      </c>
      <c r="X206">
        <v>720.12</v>
      </c>
      <c r="Y206">
        <v>-166.88</v>
      </c>
      <c r="Z206">
        <v>95.379000000000005</v>
      </c>
      <c r="AA206">
        <v>-94.293999999999997</v>
      </c>
      <c r="AB206">
        <v>361.45</v>
      </c>
      <c r="AC206">
        <v>-611.59</v>
      </c>
      <c r="AD206">
        <v>493.84</v>
      </c>
      <c r="AE206">
        <v>-156.4</v>
      </c>
      <c r="AF206">
        <v>5.62</v>
      </c>
      <c r="AG206">
        <v>3495</v>
      </c>
      <c r="AH206">
        <v>950</v>
      </c>
    </row>
    <row r="207" spans="1:34" x14ac:dyDescent="0.3">
      <c r="A207" t="s">
        <v>424</v>
      </c>
      <c r="B207" s="114" t="s">
        <v>378</v>
      </c>
      <c r="C207" t="s">
        <v>530</v>
      </c>
      <c r="D207">
        <v>34</v>
      </c>
      <c r="E207">
        <v>391</v>
      </c>
      <c r="F207">
        <v>2287</v>
      </c>
      <c r="G207">
        <v>92.596774922083213</v>
      </c>
      <c r="H207">
        <v>3497</v>
      </c>
      <c r="I207">
        <v>-63.32</v>
      </c>
      <c r="J207">
        <v>-44.244999999999997</v>
      </c>
      <c r="K207">
        <v>705.63</v>
      </c>
      <c r="L207">
        <v>-1034.9000000000001</v>
      </c>
      <c r="M207">
        <v>418.1</v>
      </c>
      <c r="N207">
        <v>40.698999999999998</v>
      </c>
      <c r="O207">
        <v>42.497999999999998</v>
      </c>
      <c r="P207">
        <v>23.943999999999999</v>
      </c>
      <c r="Q207">
        <v>-64.594999999999999</v>
      </c>
      <c r="R207">
        <v>99.617999999999995</v>
      </c>
      <c r="S207">
        <v>-42.015999999999998</v>
      </c>
      <c r="T207">
        <v>124.23</v>
      </c>
      <c r="U207">
        <v>-275.95999999999998</v>
      </c>
      <c r="V207">
        <v>801.35</v>
      </c>
      <c r="W207">
        <v>-1121.7</v>
      </c>
      <c r="X207">
        <v>720.12</v>
      </c>
      <c r="Y207">
        <v>-166.88</v>
      </c>
      <c r="Z207">
        <v>95.379000000000005</v>
      </c>
      <c r="AA207">
        <v>-94.293999999999997</v>
      </c>
      <c r="AB207">
        <v>361.45</v>
      </c>
      <c r="AC207">
        <v>-611.59</v>
      </c>
      <c r="AD207">
        <v>493.84</v>
      </c>
      <c r="AE207">
        <v>-156.4</v>
      </c>
      <c r="AF207">
        <v>5.62</v>
      </c>
      <c r="AG207">
        <v>3495</v>
      </c>
      <c r="AH207">
        <v>950</v>
      </c>
    </row>
    <row r="208" spans="1:34" x14ac:dyDescent="0.3">
      <c r="A208" t="s">
        <v>424</v>
      </c>
      <c r="B208" s="114" t="s">
        <v>378</v>
      </c>
      <c r="C208" t="s">
        <v>531</v>
      </c>
      <c r="D208">
        <v>68</v>
      </c>
      <c r="E208">
        <v>574</v>
      </c>
      <c r="F208">
        <v>3547</v>
      </c>
      <c r="G208">
        <v>92.596774922083213</v>
      </c>
      <c r="H208">
        <v>3497</v>
      </c>
      <c r="I208">
        <v>-63.32</v>
      </c>
      <c r="J208">
        <v>-44.244999999999997</v>
      </c>
      <c r="K208">
        <v>705.63</v>
      </c>
      <c r="L208">
        <v>-1034.9000000000001</v>
      </c>
      <c r="M208">
        <v>418.1</v>
      </c>
      <c r="N208">
        <v>40.698999999999998</v>
      </c>
      <c r="O208">
        <v>42.497999999999998</v>
      </c>
      <c r="P208">
        <v>23.943999999999999</v>
      </c>
      <c r="Q208">
        <v>-64.594999999999999</v>
      </c>
      <c r="R208">
        <v>99.617999999999995</v>
      </c>
      <c r="S208">
        <v>-42.015999999999998</v>
      </c>
      <c r="T208">
        <v>124.23</v>
      </c>
      <c r="U208">
        <v>-275.95999999999998</v>
      </c>
      <c r="V208">
        <v>801.35</v>
      </c>
      <c r="W208">
        <v>-1121.7</v>
      </c>
      <c r="X208">
        <v>720.12</v>
      </c>
      <c r="Y208">
        <v>-166.88</v>
      </c>
      <c r="Z208">
        <v>95.379000000000005</v>
      </c>
      <c r="AA208">
        <v>-94.293999999999997</v>
      </c>
      <c r="AB208">
        <v>361.45</v>
      </c>
      <c r="AC208">
        <v>-611.59</v>
      </c>
      <c r="AD208">
        <v>493.84</v>
      </c>
      <c r="AE208">
        <v>-156.4</v>
      </c>
      <c r="AF208">
        <v>5.62</v>
      </c>
      <c r="AG208">
        <v>3495</v>
      </c>
      <c r="AH208">
        <v>950</v>
      </c>
    </row>
    <row r="209" spans="1:34" x14ac:dyDescent="0.3">
      <c r="A209" t="s">
        <v>424</v>
      </c>
      <c r="B209" s="114" t="s">
        <v>378</v>
      </c>
      <c r="C209" t="s">
        <v>532</v>
      </c>
      <c r="D209">
        <v>68</v>
      </c>
      <c r="E209">
        <v>574</v>
      </c>
      <c r="F209">
        <v>3311</v>
      </c>
      <c r="G209">
        <v>92.596774922083213</v>
      </c>
      <c r="H209">
        <v>3497</v>
      </c>
      <c r="I209">
        <v>-63.32</v>
      </c>
      <c r="J209">
        <v>-44.244999999999997</v>
      </c>
      <c r="K209">
        <v>705.63</v>
      </c>
      <c r="L209">
        <v>-1034.9000000000001</v>
      </c>
      <c r="M209">
        <v>418.1</v>
      </c>
      <c r="N209">
        <v>40.698999999999998</v>
      </c>
      <c r="O209">
        <v>42.497999999999998</v>
      </c>
      <c r="P209">
        <v>23.943999999999999</v>
      </c>
      <c r="Q209">
        <v>-64.594999999999999</v>
      </c>
      <c r="R209">
        <v>99.617999999999995</v>
      </c>
      <c r="S209">
        <v>-42.015999999999998</v>
      </c>
      <c r="T209">
        <v>124.23</v>
      </c>
      <c r="U209">
        <v>-275.95999999999998</v>
      </c>
      <c r="V209">
        <v>801.35</v>
      </c>
      <c r="W209">
        <v>-1121.7</v>
      </c>
      <c r="X209">
        <v>720.12</v>
      </c>
      <c r="Y209">
        <v>-166.88</v>
      </c>
      <c r="Z209">
        <v>95.379000000000005</v>
      </c>
      <c r="AA209">
        <v>-94.293999999999997</v>
      </c>
      <c r="AB209">
        <v>361.45</v>
      </c>
      <c r="AC209">
        <v>-611.59</v>
      </c>
      <c r="AD209">
        <v>493.84</v>
      </c>
      <c r="AE209">
        <v>-156.4</v>
      </c>
      <c r="AF209">
        <v>5.62</v>
      </c>
      <c r="AG209">
        <v>3495</v>
      </c>
      <c r="AH209">
        <v>950</v>
      </c>
    </row>
    <row r="210" spans="1:34" x14ac:dyDescent="0.3">
      <c r="A210" t="s">
        <v>424</v>
      </c>
      <c r="B210" s="114" t="s">
        <v>378</v>
      </c>
      <c r="C210" t="s">
        <v>533</v>
      </c>
      <c r="D210">
        <v>34</v>
      </c>
      <c r="E210">
        <v>391</v>
      </c>
      <c r="F210">
        <v>3564</v>
      </c>
      <c r="G210">
        <v>92.6</v>
      </c>
      <c r="H210">
        <v>3497</v>
      </c>
      <c r="I210">
        <v>-63.32</v>
      </c>
      <c r="J210">
        <v>-44.244999999999997</v>
      </c>
      <c r="K210">
        <v>705.63</v>
      </c>
      <c r="L210">
        <v>-1034.9000000000001</v>
      </c>
      <c r="M210">
        <v>418.1</v>
      </c>
      <c r="N210">
        <v>40.698999999999998</v>
      </c>
      <c r="O210">
        <v>42.497999999999998</v>
      </c>
      <c r="P210">
        <v>23.943999999999999</v>
      </c>
      <c r="Q210">
        <v>-64.594999999999999</v>
      </c>
      <c r="R210">
        <v>99.617999999999995</v>
      </c>
      <c r="S210">
        <v>-42.015999999999998</v>
      </c>
      <c r="T210">
        <v>124.23</v>
      </c>
      <c r="U210">
        <v>-275.95999999999998</v>
      </c>
      <c r="V210">
        <v>801.35</v>
      </c>
      <c r="W210">
        <v>-1121.7</v>
      </c>
      <c r="X210">
        <v>720.12</v>
      </c>
      <c r="Y210">
        <v>-166.88</v>
      </c>
      <c r="Z210">
        <v>95.379000000000005</v>
      </c>
      <c r="AA210">
        <v>-94.293999999999997</v>
      </c>
      <c r="AB210">
        <v>361.45</v>
      </c>
      <c r="AC210">
        <v>-611.59</v>
      </c>
      <c r="AD210">
        <v>493.84</v>
      </c>
      <c r="AE210">
        <v>-156.4</v>
      </c>
      <c r="AF210">
        <v>5.62</v>
      </c>
      <c r="AG210">
        <v>3495</v>
      </c>
      <c r="AH210">
        <v>950</v>
      </c>
    </row>
    <row r="211" spans="1:34" x14ac:dyDescent="0.3">
      <c r="A211" t="s">
        <v>424</v>
      </c>
      <c r="B211" s="114" t="s">
        <v>378</v>
      </c>
      <c r="C211" t="s">
        <v>534</v>
      </c>
      <c r="D211">
        <v>68</v>
      </c>
      <c r="E211">
        <v>574</v>
      </c>
      <c r="F211">
        <v>3462</v>
      </c>
      <c r="G211">
        <v>92.596774922083213</v>
      </c>
      <c r="H211">
        <v>3497</v>
      </c>
      <c r="I211">
        <v>-63.32</v>
      </c>
      <c r="J211">
        <v>-44.244999999999997</v>
      </c>
      <c r="K211">
        <v>705.63</v>
      </c>
      <c r="L211">
        <v>-1034.9000000000001</v>
      </c>
      <c r="M211">
        <v>418.1</v>
      </c>
      <c r="N211">
        <v>40.698999999999998</v>
      </c>
      <c r="O211">
        <v>42.497999999999998</v>
      </c>
      <c r="P211">
        <v>23.943999999999999</v>
      </c>
      <c r="Q211">
        <v>-64.594999999999999</v>
      </c>
      <c r="R211">
        <v>99.617999999999995</v>
      </c>
      <c r="S211">
        <v>-42.015999999999998</v>
      </c>
      <c r="T211">
        <v>124.23</v>
      </c>
      <c r="U211">
        <v>-275.95999999999998</v>
      </c>
      <c r="V211">
        <v>801.35</v>
      </c>
      <c r="W211">
        <v>-1121.7</v>
      </c>
      <c r="X211">
        <v>720.12</v>
      </c>
      <c r="Y211">
        <v>-166.88</v>
      </c>
      <c r="Z211">
        <v>95.379000000000005</v>
      </c>
      <c r="AA211">
        <v>-94.293999999999997</v>
      </c>
      <c r="AB211">
        <v>361.45</v>
      </c>
      <c r="AC211">
        <v>-611.59</v>
      </c>
      <c r="AD211">
        <v>493.84</v>
      </c>
      <c r="AE211">
        <v>-156.4</v>
      </c>
      <c r="AF211">
        <v>5.62</v>
      </c>
      <c r="AG211">
        <v>3495</v>
      </c>
      <c r="AH211">
        <v>950</v>
      </c>
    </row>
    <row r="212" spans="1:34" x14ac:dyDescent="0.3">
      <c r="A212" t="s">
        <v>424</v>
      </c>
      <c r="B212" s="114" t="s">
        <v>378</v>
      </c>
      <c r="C212" t="s">
        <v>535</v>
      </c>
      <c r="D212">
        <v>25.7</v>
      </c>
      <c r="E212">
        <v>287</v>
      </c>
      <c r="F212">
        <v>1731</v>
      </c>
      <c r="G212">
        <v>92.596774922083213</v>
      </c>
      <c r="H212">
        <v>3497</v>
      </c>
      <c r="I212">
        <v>-63.32</v>
      </c>
      <c r="J212">
        <v>-44.244999999999997</v>
      </c>
      <c r="K212">
        <v>705.63</v>
      </c>
      <c r="L212">
        <v>-1034.9000000000001</v>
      </c>
      <c r="M212">
        <v>418.1</v>
      </c>
      <c r="N212">
        <v>40.698999999999998</v>
      </c>
      <c r="O212">
        <v>42.497999999999998</v>
      </c>
      <c r="P212">
        <v>23.943999999999999</v>
      </c>
      <c r="Q212">
        <v>-64.594999999999999</v>
      </c>
      <c r="R212">
        <v>99.617999999999995</v>
      </c>
      <c r="S212">
        <v>-42.015999999999998</v>
      </c>
      <c r="T212">
        <v>124.23</v>
      </c>
      <c r="U212">
        <v>-275.95999999999998</v>
      </c>
      <c r="V212">
        <v>801.35</v>
      </c>
      <c r="W212">
        <v>-1121.7</v>
      </c>
      <c r="X212">
        <v>720.12</v>
      </c>
      <c r="Y212">
        <v>-166.88</v>
      </c>
      <c r="Z212">
        <v>95.379000000000005</v>
      </c>
      <c r="AA212">
        <v>-94.293999999999997</v>
      </c>
      <c r="AB212">
        <v>361.45</v>
      </c>
      <c r="AC212">
        <v>-611.59</v>
      </c>
      <c r="AD212">
        <v>493.84</v>
      </c>
      <c r="AE212">
        <v>-156.4</v>
      </c>
      <c r="AF212">
        <v>5.62</v>
      </c>
      <c r="AG212">
        <v>3495</v>
      </c>
      <c r="AH212">
        <v>950</v>
      </c>
    </row>
    <row r="213" spans="1:34" x14ac:dyDescent="0.3">
      <c r="A213" t="s">
        <v>424</v>
      </c>
      <c r="B213" s="114" t="s">
        <v>378</v>
      </c>
      <c r="C213" t="s">
        <v>536</v>
      </c>
      <c r="D213">
        <v>34</v>
      </c>
      <c r="E213">
        <v>391</v>
      </c>
      <c r="F213">
        <v>2217</v>
      </c>
      <c r="G213">
        <v>92.596774922083213</v>
      </c>
      <c r="H213">
        <v>3497</v>
      </c>
      <c r="I213">
        <v>-63.32</v>
      </c>
      <c r="J213">
        <v>-44.244999999999997</v>
      </c>
      <c r="K213">
        <v>705.63</v>
      </c>
      <c r="L213">
        <v>-1034.9000000000001</v>
      </c>
      <c r="M213">
        <v>418.1</v>
      </c>
      <c r="N213">
        <v>40.698999999999998</v>
      </c>
      <c r="O213">
        <v>42.497999999999998</v>
      </c>
      <c r="P213">
        <v>23.943999999999999</v>
      </c>
      <c r="Q213">
        <v>-64.594999999999999</v>
      </c>
      <c r="R213">
        <v>99.617999999999995</v>
      </c>
      <c r="S213">
        <v>-42.015999999999998</v>
      </c>
      <c r="T213">
        <v>124.23</v>
      </c>
      <c r="U213">
        <v>-275.95999999999998</v>
      </c>
      <c r="V213">
        <v>801.35</v>
      </c>
      <c r="W213">
        <v>-1121.7</v>
      </c>
      <c r="X213">
        <v>720.12</v>
      </c>
      <c r="Y213">
        <v>-166.88</v>
      </c>
      <c r="Z213">
        <v>95.379000000000005</v>
      </c>
      <c r="AA213">
        <v>-94.293999999999997</v>
      </c>
      <c r="AB213">
        <v>361.45</v>
      </c>
      <c r="AC213">
        <v>-611.59</v>
      </c>
      <c r="AD213">
        <v>493.84</v>
      </c>
      <c r="AE213">
        <v>-156.4</v>
      </c>
      <c r="AF213">
        <v>5.62</v>
      </c>
      <c r="AG213">
        <v>3495</v>
      </c>
      <c r="AH213">
        <v>950</v>
      </c>
    </row>
    <row r="214" spans="1:34" x14ac:dyDescent="0.3">
      <c r="A214" t="s">
        <v>424</v>
      </c>
      <c r="B214" s="114" t="s">
        <v>378</v>
      </c>
      <c r="C214" t="s">
        <v>537</v>
      </c>
      <c r="D214">
        <v>34</v>
      </c>
      <c r="E214">
        <v>15</v>
      </c>
      <c r="F214">
        <v>2043</v>
      </c>
      <c r="G214">
        <v>92.596774922083213</v>
      </c>
      <c r="H214">
        <v>3497</v>
      </c>
      <c r="I214">
        <v>-63.32</v>
      </c>
      <c r="J214">
        <v>-44.244999999999997</v>
      </c>
      <c r="K214">
        <v>705.63</v>
      </c>
      <c r="L214">
        <v>-1034.9000000000001</v>
      </c>
      <c r="M214">
        <v>418.1</v>
      </c>
      <c r="N214">
        <v>40.698999999999998</v>
      </c>
      <c r="O214">
        <v>42.497999999999998</v>
      </c>
      <c r="P214">
        <v>23.943999999999999</v>
      </c>
      <c r="Q214">
        <v>-64.594999999999999</v>
      </c>
      <c r="R214">
        <v>99.617999999999995</v>
      </c>
      <c r="S214">
        <v>-42.015999999999998</v>
      </c>
      <c r="T214">
        <v>124.23</v>
      </c>
      <c r="U214">
        <v>-275.95999999999998</v>
      </c>
      <c r="V214">
        <v>801.35</v>
      </c>
      <c r="W214">
        <v>-1121.7</v>
      </c>
      <c r="X214">
        <v>720.12</v>
      </c>
      <c r="Y214">
        <v>-166.88</v>
      </c>
      <c r="Z214">
        <v>95.379000000000005</v>
      </c>
      <c r="AA214">
        <v>-94.293999999999997</v>
      </c>
      <c r="AB214">
        <v>361.45</v>
      </c>
      <c r="AC214">
        <v>-611.59</v>
      </c>
      <c r="AD214">
        <v>493.84</v>
      </c>
      <c r="AE214">
        <v>-156.4</v>
      </c>
      <c r="AF214">
        <v>5.62</v>
      </c>
      <c r="AG214">
        <v>3495</v>
      </c>
      <c r="AH214">
        <v>950</v>
      </c>
    </row>
    <row r="215" spans="1:34" x14ac:dyDescent="0.3">
      <c r="A215" t="s">
        <v>424</v>
      </c>
      <c r="B215" s="114" t="s">
        <v>378</v>
      </c>
      <c r="C215" t="s">
        <v>534</v>
      </c>
      <c r="D215">
        <v>68</v>
      </c>
      <c r="E215">
        <v>574</v>
      </c>
      <c r="F215">
        <v>3462</v>
      </c>
      <c r="G215">
        <v>92.596774922083213</v>
      </c>
      <c r="H215">
        <v>3497</v>
      </c>
      <c r="I215">
        <v>-63.32</v>
      </c>
      <c r="J215">
        <v>-44.244999999999997</v>
      </c>
      <c r="K215">
        <v>705.63</v>
      </c>
      <c r="L215">
        <v>-1034.9000000000001</v>
      </c>
      <c r="M215">
        <v>418.1</v>
      </c>
      <c r="N215">
        <v>40.698999999999998</v>
      </c>
      <c r="O215">
        <v>42.497999999999998</v>
      </c>
      <c r="P215">
        <v>23.943999999999999</v>
      </c>
      <c r="Q215">
        <v>-64.594999999999999</v>
      </c>
      <c r="R215">
        <v>99.617999999999995</v>
      </c>
      <c r="S215">
        <v>-42.015999999999998</v>
      </c>
      <c r="T215">
        <v>124.23</v>
      </c>
      <c r="U215">
        <v>-275.95999999999998</v>
      </c>
      <c r="V215">
        <v>801.35</v>
      </c>
      <c r="W215">
        <v>-1121.7</v>
      </c>
      <c r="X215">
        <v>720.12</v>
      </c>
      <c r="Y215">
        <v>-166.88</v>
      </c>
      <c r="Z215">
        <v>95.379000000000005</v>
      </c>
      <c r="AA215">
        <v>-94.293999999999997</v>
      </c>
      <c r="AB215">
        <v>361.45</v>
      </c>
      <c r="AC215">
        <v>-611.59</v>
      </c>
      <c r="AD215">
        <v>493.84</v>
      </c>
      <c r="AE215">
        <v>-156.4</v>
      </c>
      <c r="AF215">
        <v>5.62</v>
      </c>
      <c r="AG215">
        <v>3495</v>
      </c>
      <c r="AH215">
        <v>950</v>
      </c>
    </row>
    <row r="216" spans="1:34" x14ac:dyDescent="0.3">
      <c r="A216" t="s">
        <v>424</v>
      </c>
      <c r="B216" s="114" t="s">
        <v>378</v>
      </c>
      <c r="C216" t="s">
        <v>538</v>
      </c>
      <c r="D216">
        <v>68</v>
      </c>
      <c r="E216">
        <v>400</v>
      </c>
      <c r="F216">
        <v>3354</v>
      </c>
      <c r="G216">
        <v>74</v>
      </c>
      <c r="H216">
        <v>3497</v>
      </c>
      <c r="I216">
        <v>-63.32</v>
      </c>
      <c r="J216">
        <v>-44.244999999999997</v>
      </c>
      <c r="K216">
        <v>705.63</v>
      </c>
      <c r="L216">
        <v>-1034.9000000000001</v>
      </c>
      <c r="M216">
        <v>418.1</v>
      </c>
      <c r="N216">
        <v>40.698999999999998</v>
      </c>
      <c r="O216">
        <v>42.497999999999998</v>
      </c>
      <c r="P216">
        <v>23.943999999999999</v>
      </c>
      <c r="Q216">
        <v>-64.594999999999999</v>
      </c>
      <c r="R216">
        <v>99.617999999999995</v>
      </c>
      <c r="S216">
        <v>-42.015999999999998</v>
      </c>
      <c r="T216">
        <v>124.23</v>
      </c>
      <c r="U216">
        <v>-275.95999999999998</v>
      </c>
      <c r="V216">
        <v>801.35</v>
      </c>
      <c r="W216">
        <v>-1121.7</v>
      </c>
      <c r="X216">
        <v>720.12</v>
      </c>
      <c r="Y216">
        <v>-166.88</v>
      </c>
      <c r="Z216">
        <v>95.379000000000005</v>
      </c>
      <c r="AA216">
        <v>-94.293999999999997</v>
      </c>
      <c r="AB216">
        <v>361.45</v>
      </c>
      <c r="AC216">
        <v>-611.59</v>
      </c>
      <c r="AD216">
        <v>493.84</v>
      </c>
      <c r="AE216">
        <v>-156.4</v>
      </c>
      <c r="AF216">
        <v>5.62</v>
      </c>
      <c r="AG216">
        <v>3495</v>
      </c>
      <c r="AH216">
        <v>950</v>
      </c>
    </row>
    <row r="217" spans="1:34" x14ac:dyDescent="0.3">
      <c r="A217" t="s">
        <v>424</v>
      </c>
      <c r="B217" s="114" t="s">
        <v>378</v>
      </c>
      <c r="C217" t="s">
        <v>531</v>
      </c>
      <c r="D217">
        <v>68</v>
      </c>
      <c r="E217">
        <v>574</v>
      </c>
      <c r="F217">
        <v>3547</v>
      </c>
      <c r="G217">
        <v>92.596774922083213</v>
      </c>
      <c r="H217">
        <v>3497</v>
      </c>
      <c r="I217">
        <v>-63.32</v>
      </c>
      <c r="J217">
        <v>-44.244999999999997</v>
      </c>
      <c r="K217">
        <v>705.63</v>
      </c>
      <c r="L217">
        <v>-1034.9000000000001</v>
      </c>
      <c r="M217">
        <v>418.1</v>
      </c>
      <c r="N217">
        <v>40.698999999999998</v>
      </c>
      <c r="O217">
        <v>42.497999999999998</v>
      </c>
      <c r="P217">
        <v>23.943999999999999</v>
      </c>
      <c r="Q217">
        <v>-64.594999999999999</v>
      </c>
      <c r="R217">
        <v>99.617999999999995</v>
      </c>
      <c r="S217">
        <v>-42.015999999999998</v>
      </c>
      <c r="T217">
        <v>124.23</v>
      </c>
      <c r="U217">
        <v>-275.95999999999998</v>
      </c>
      <c r="V217">
        <v>801.35</v>
      </c>
      <c r="W217">
        <v>-1121.7</v>
      </c>
      <c r="X217">
        <v>720.12</v>
      </c>
      <c r="Y217">
        <v>-166.88</v>
      </c>
      <c r="Z217">
        <v>95.379000000000005</v>
      </c>
      <c r="AA217">
        <v>-94.293999999999997</v>
      </c>
      <c r="AB217">
        <v>361.45</v>
      </c>
      <c r="AC217">
        <v>-611.59</v>
      </c>
      <c r="AD217">
        <v>493.84</v>
      </c>
      <c r="AE217">
        <v>-156.4</v>
      </c>
      <c r="AF217">
        <v>5.62</v>
      </c>
      <c r="AG217">
        <v>3495</v>
      </c>
      <c r="AH217">
        <v>950</v>
      </c>
    </row>
    <row r="218" spans="1:34" x14ac:dyDescent="0.3">
      <c r="A218" t="s">
        <v>424</v>
      </c>
      <c r="B218" s="114" t="s">
        <v>425</v>
      </c>
      <c r="C218" t="s">
        <v>539</v>
      </c>
      <c r="D218">
        <v>31</v>
      </c>
      <c r="E218">
        <v>206</v>
      </c>
      <c r="F218">
        <v>1330</v>
      </c>
      <c r="G218">
        <v>99</v>
      </c>
      <c r="H218">
        <v>2678.1831999999999</v>
      </c>
      <c r="I218">
        <v>5485.6889000000001</v>
      </c>
      <c r="J218">
        <v>-14259.41</v>
      </c>
      <c r="K218">
        <v>17906.57</v>
      </c>
      <c r="L218">
        <v>-11160.13</v>
      </c>
      <c r="M218">
        <v>2764.1774999999998</v>
      </c>
      <c r="N218">
        <v>-55.941200000000002</v>
      </c>
      <c r="O218">
        <v>543.31503999999995</v>
      </c>
      <c r="P218">
        <v>-1224.143</v>
      </c>
      <c r="Q218">
        <v>1669.5468000000001</v>
      </c>
      <c r="R218">
        <v>-1144.998</v>
      </c>
      <c r="S218">
        <v>312.10921999999999</v>
      </c>
      <c r="T218">
        <v>288.95916999999997</v>
      </c>
      <c r="U218">
        <v>-1608.942</v>
      </c>
      <c r="V218">
        <v>4733.8590999999997</v>
      </c>
      <c r="W218">
        <v>-6670.8010000000004</v>
      </c>
      <c r="X218">
        <v>4530.6298999999999</v>
      </c>
      <c r="Y218">
        <v>-1193.3420000000001</v>
      </c>
      <c r="Z218">
        <v>-53.766300000000001</v>
      </c>
      <c r="AA218">
        <v>701.77335999999991</v>
      </c>
      <c r="AB218">
        <v>-1267.423</v>
      </c>
      <c r="AC218">
        <v>934.89398000000006</v>
      </c>
      <c r="AD218">
        <v>-181.85579999999999</v>
      </c>
      <c r="AE218">
        <v>-49.545999999999999</v>
      </c>
      <c r="AF218">
        <v>4.5599999999999996</v>
      </c>
      <c r="AG218">
        <v>3500</v>
      </c>
      <c r="AH218">
        <v>450</v>
      </c>
    </row>
    <row r="219" spans="1:34" x14ac:dyDescent="0.3">
      <c r="A219" t="s">
        <v>424</v>
      </c>
      <c r="B219" s="114" t="s">
        <v>425</v>
      </c>
      <c r="C219" t="s">
        <v>540</v>
      </c>
      <c r="D219">
        <v>31</v>
      </c>
      <c r="E219">
        <v>110</v>
      </c>
      <c r="F219">
        <v>2184</v>
      </c>
      <c r="G219">
        <v>33</v>
      </c>
      <c r="H219">
        <v>3546.2272727272298</v>
      </c>
      <c r="I219">
        <v>236.12500000040501</v>
      </c>
      <c r="J219">
        <v>-1133.9233682997501</v>
      </c>
      <c r="K219">
        <v>1748.61596736811</v>
      </c>
      <c r="L219">
        <v>-1316.2878787894199</v>
      </c>
      <c r="M219">
        <v>368.58974359016202</v>
      </c>
      <c r="N219">
        <v>33.045454545453801</v>
      </c>
      <c r="O219">
        <v>58.639277389283698</v>
      </c>
      <c r="P219">
        <v>4.18123543121499</v>
      </c>
      <c r="Q219">
        <v>3.2051282051591401</v>
      </c>
      <c r="R219">
        <v>1.4568764568543</v>
      </c>
      <c r="S219">
        <v>6.0492590746374096E-12</v>
      </c>
      <c r="T219">
        <v>42.231818181816102</v>
      </c>
      <c r="U219">
        <v>-61.005944055924999</v>
      </c>
      <c r="V219">
        <v>624.51631701625797</v>
      </c>
      <c r="W219">
        <v>-1125.14568764561</v>
      </c>
      <c r="X219">
        <v>811.77156177151096</v>
      </c>
      <c r="Y219">
        <v>-211.53846153845001</v>
      </c>
      <c r="Z219">
        <v>6.66818181818204</v>
      </c>
      <c r="AA219">
        <v>174.41488927738601</v>
      </c>
      <c r="AB219">
        <v>88.814831002346907</v>
      </c>
      <c r="AC219">
        <v>-562.33245920749198</v>
      </c>
      <c r="AD219">
        <v>540.42832167835002</v>
      </c>
      <c r="AE219">
        <v>-165.06410256411201</v>
      </c>
      <c r="AF219">
        <v>4.5599999999999996</v>
      </c>
      <c r="AG219">
        <v>3500</v>
      </c>
      <c r="AH219">
        <v>450</v>
      </c>
    </row>
    <row r="220" spans="1:34" x14ac:dyDescent="0.3">
      <c r="A220" t="s">
        <v>424</v>
      </c>
      <c r="B220" s="114" t="s">
        <v>425</v>
      </c>
      <c r="C220" t="s">
        <v>541</v>
      </c>
      <c r="D220">
        <v>31</v>
      </c>
      <c r="E220">
        <v>90</v>
      </c>
      <c r="F220">
        <v>2245</v>
      </c>
      <c r="G220">
        <v>28.4</v>
      </c>
      <c r="H220">
        <v>3546.2272727272298</v>
      </c>
      <c r="I220">
        <v>236.12500000040501</v>
      </c>
      <c r="J220">
        <v>-1133.9233682997501</v>
      </c>
      <c r="K220">
        <v>1748.61596736811</v>
      </c>
      <c r="L220">
        <v>-1316.2878787894199</v>
      </c>
      <c r="M220">
        <v>368.58974359016202</v>
      </c>
      <c r="N220">
        <v>33.045454545453801</v>
      </c>
      <c r="O220">
        <v>58.639277389283698</v>
      </c>
      <c r="P220">
        <v>4.18123543121499</v>
      </c>
      <c r="Q220">
        <v>3.2051282051591401</v>
      </c>
      <c r="R220">
        <v>1.4568764568543</v>
      </c>
      <c r="S220">
        <v>6.0492590746374096E-12</v>
      </c>
      <c r="T220">
        <v>42.231818181816102</v>
      </c>
      <c r="U220">
        <v>-61.005944055924999</v>
      </c>
      <c r="V220">
        <v>624.51631701625797</v>
      </c>
      <c r="W220">
        <v>-1125.14568764561</v>
      </c>
      <c r="X220">
        <v>811.77156177151096</v>
      </c>
      <c r="Y220">
        <v>-211.53846153845001</v>
      </c>
      <c r="Z220">
        <v>6.66818181818204</v>
      </c>
      <c r="AA220">
        <v>174.41488927738601</v>
      </c>
      <c r="AB220">
        <v>88.814831002346907</v>
      </c>
      <c r="AC220">
        <v>-562.33245920749198</v>
      </c>
      <c r="AD220">
        <v>540.42832167835002</v>
      </c>
      <c r="AE220">
        <v>-165.06410256411201</v>
      </c>
      <c r="AF220">
        <v>4.5599999999999996</v>
      </c>
      <c r="AG220">
        <v>3500</v>
      </c>
      <c r="AH220">
        <v>450</v>
      </c>
    </row>
    <row r="221" spans="1:34" x14ac:dyDescent="0.3">
      <c r="A221" t="s">
        <v>424</v>
      </c>
      <c r="B221" s="114" t="s">
        <v>425</v>
      </c>
      <c r="C221" t="s">
        <v>542</v>
      </c>
      <c r="D221">
        <v>31</v>
      </c>
      <c r="E221">
        <v>105</v>
      </c>
      <c r="F221">
        <v>2144</v>
      </c>
      <c r="G221">
        <v>32</v>
      </c>
      <c r="H221">
        <v>3546.2272727272298</v>
      </c>
      <c r="I221">
        <v>236.12500000040501</v>
      </c>
      <c r="J221">
        <v>-1133.9233682997501</v>
      </c>
      <c r="K221">
        <v>1748.61596736811</v>
      </c>
      <c r="L221">
        <v>-1316.2878787894199</v>
      </c>
      <c r="M221">
        <v>368.58974359016202</v>
      </c>
      <c r="N221">
        <v>33.045454545453801</v>
      </c>
      <c r="O221">
        <v>58.639277389283698</v>
      </c>
      <c r="P221">
        <v>4.18123543121499</v>
      </c>
      <c r="Q221">
        <v>3.2051282051591401</v>
      </c>
      <c r="R221">
        <v>1.4568764568543</v>
      </c>
      <c r="S221">
        <v>6.0492590746374096E-12</v>
      </c>
      <c r="T221">
        <v>42.231818181816102</v>
      </c>
      <c r="U221">
        <v>-61.005944055924999</v>
      </c>
      <c r="V221">
        <v>624.51631701625797</v>
      </c>
      <c r="W221">
        <v>-1125.14568764561</v>
      </c>
      <c r="X221">
        <v>811.77156177151096</v>
      </c>
      <c r="Y221">
        <v>-211.53846153845001</v>
      </c>
      <c r="Z221">
        <v>6.66818181818204</v>
      </c>
      <c r="AA221">
        <v>174.41488927738601</v>
      </c>
      <c r="AB221">
        <v>88.814831002346907</v>
      </c>
      <c r="AC221">
        <v>-562.33245920749198</v>
      </c>
      <c r="AD221">
        <v>540.42832167835002</v>
      </c>
      <c r="AE221">
        <v>-165.06410256411201</v>
      </c>
      <c r="AF221">
        <v>4.5599999999999996</v>
      </c>
      <c r="AG221">
        <v>3500</v>
      </c>
      <c r="AH221">
        <v>450</v>
      </c>
    </row>
    <row r="222" spans="1:34" x14ac:dyDescent="0.3">
      <c r="A222" t="s">
        <v>424</v>
      </c>
      <c r="B222" s="114" t="s">
        <v>425</v>
      </c>
      <c r="C222" t="s">
        <v>543</v>
      </c>
      <c r="D222">
        <v>31</v>
      </c>
      <c r="E222">
        <v>43.5</v>
      </c>
      <c r="F222">
        <v>1330</v>
      </c>
      <c r="G222">
        <v>23.020375447306588</v>
      </c>
      <c r="H222">
        <v>3546.2272727272298</v>
      </c>
      <c r="I222">
        <v>236.12500000040501</v>
      </c>
      <c r="J222">
        <v>-1133.9233682997501</v>
      </c>
      <c r="K222">
        <v>1748.61596736811</v>
      </c>
      <c r="L222">
        <v>-1316.2878787894199</v>
      </c>
      <c r="M222">
        <v>368.58974359016202</v>
      </c>
      <c r="N222">
        <v>33.045454545453801</v>
      </c>
      <c r="O222">
        <v>58.639277389283698</v>
      </c>
      <c r="P222">
        <v>4.18123543121499</v>
      </c>
      <c r="Q222">
        <v>3.2051282051591401</v>
      </c>
      <c r="R222">
        <v>1.4568764568543</v>
      </c>
      <c r="S222">
        <v>6.0492590746374096E-12</v>
      </c>
      <c r="T222">
        <v>42.231818181816102</v>
      </c>
      <c r="U222">
        <v>-61.005944055924999</v>
      </c>
      <c r="V222">
        <v>624.51631701625797</v>
      </c>
      <c r="W222">
        <v>-1125.14568764561</v>
      </c>
      <c r="X222">
        <v>811.77156177151096</v>
      </c>
      <c r="Y222">
        <v>-211.53846153845001</v>
      </c>
      <c r="Z222">
        <v>6.66818181818204</v>
      </c>
      <c r="AA222">
        <v>174.41488927738601</v>
      </c>
      <c r="AB222">
        <v>88.814831002346907</v>
      </c>
      <c r="AC222">
        <v>-562.33245920749198</v>
      </c>
      <c r="AD222">
        <v>540.42832167835002</v>
      </c>
      <c r="AE222">
        <v>-165.06410256411201</v>
      </c>
      <c r="AF222">
        <v>4.5599999999999996</v>
      </c>
      <c r="AG222">
        <v>3500</v>
      </c>
      <c r="AH222">
        <v>450</v>
      </c>
    </row>
    <row r="223" spans="1:34" x14ac:dyDescent="0.3">
      <c r="A223" t="s">
        <v>424</v>
      </c>
      <c r="B223" s="114" t="s">
        <v>378</v>
      </c>
      <c r="C223" t="s">
        <v>544</v>
      </c>
      <c r="D223">
        <v>34</v>
      </c>
      <c r="E223">
        <v>339</v>
      </c>
      <c r="F223">
        <v>3019</v>
      </c>
      <c r="G223">
        <v>57.8</v>
      </c>
      <c r="H223">
        <v>3497</v>
      </c>
      <c r="I223">
        <v>-63.32</v>
      </c>
      <c r="J223">
        <v>-44.244999999999997</v>
      </c>
      <c r="K223">
        <v>705.63</v>
      </c>
      <c r="L223">
        <v>-1034.9000000000001</v>
      </c>
      <c r="M223">
        <v>418.1</v>
      </c>
      <c r="N223">
        <v>40.698999999999998</v>
      </c>
      <c r="O223">
        <v>42.497999999999998</v>
      </c>
      <c r="P223">
        <v>23.943999999999999</v>
      </c>
      <c r="Q223">
        <v>-64.594999999999999</v>
      </c>
      <c r="R223">
        <v>99.617999999999995</v>
      </c>
      <c r="S223">
        <v>-42.015999999999998</v>
      </c>
      <c r="T223">
        <v>124.23</v>
      </c>
      <c r="U223">
        <v>-275.95999999999998</v>
      </c>
      <c r="V223">
        <v>801.35</v>
      </c>
      <c r="W223">
        <v>-1121.7</v>
      </c>
      <c r="X223">
        <v>720.12</v>
      </c>
      <c r="Y223">
        <v>-166.88</v>
      </c>
      <c r="Z223">
        <v>95.379000000000005</v>
      </c>
      <c r="AA223">
        <v>-94.293999999999997</v>
      </c>
      <c r="AB223">
        <v>361.45</v>
      </c>
      <c r="AC223">
        <v>-611.59</v>
      </c>
      <c r="AD223">
        <v>493.84</v>
      </c>
      <c r="AE223">
        <v>-156.4</v>
      </c>
      <c r="AF223">
        <v>5.62</v>
      </c>
      <c r="AG223">
        <v>3495</v>
      </c>
      <c r="AH223">
        <v>950</v>
      </c>
    </row>
    <row r="224" spans="1:34" x14ac:dyDescent="0.3">
      <c r="A224" t="s">
        <v>424</v>
      </c>
      <c r="B224" s="114" t="s">
        <v>378</v>
      </c>
      <c r="C224" t="s">
        <v>545</v>
      </c>
      <c r="D224">
        <v>34</v>
      </c>
      <c r="E224">
        <v>391</v>
      </c>
      <c r="F224">
        <v>3210</v>
      </c>
      <c r="G224">
        <v>66.400000000000006</v>
      </c>
      <c r="H224">
        <v>3497</v>
      </c>
      <c r="I224">
        <v>-63.32</v>
      </c>
      <c r="J224">
        <v>-44.244999999999997</v>
      </c>
      <c r="K224">
        <v>705.63</v>
      </c>
      <c r="L224">
        <v>-1034.9000000000001</v>
      </c>
      <c r="M224">
        <v>418.1</v>
      </c>
      <c r="N224">
        <v>40.698999999999998</v>
      </c>
      <c r="O224">
        <v>42.497999999999998</v>
      </c>
      <c r="P224">
        <v>23.943999999999999</v>
      </c>
      <c r="Q224">
        <v>-64.594999999999999</v>
      </c>
      <c r="R224">
        <v>99.617999999999995</v>
      </c>
      <c r="S224">
        <v>-42.015999999999998</v>
      </c>
      <c r="T224">
        <v>124.23</v>
      </c>
      <c r="U224">
        <v>-275.95999999999998</v>
      </c>
      <c r="V224">
        <v>801.35</v>
      </c>
      <c r="W224">
        <v>-1121.7</v>
      </c>
      <c r="X224">
        <v>720.12</v>
      </c>
      <c r="Y224">
        <v>-166.88</v>
      </c>
      <c r="Z224">
        <v>95.379000000000005</v>
      </c>
      <c r="AA224">
        <v>-94.293999999999997</v>
      </c>
      <c r="AB224">
        <v>361.45</v>
      </c>
      <c r="AC224">
        <v>-611.59</v>
      </c>
      <c r="AD224">
        <v>493.84</v>
      </c>
      <c r="AE224">
        <v>-156.4</v>
      </c>
      <c r="AF224">
        <v>5.62</v>
      </c>
      <c r="AG224">
        <v>3495</v>
      </c>
      <c r="AH224">
        <v>950</v>
      </c>
    </row>
    <row r="225" spans="1:34" x14ac:dyDescent="0.3">
      <c r="A225" t="s">
        <v>424</v>
      </c>
      <c r="B225" s="114" t="s">
        <v>378</v>
      </c>
      <c r="C225" t="s">
        <v>546</v>
      </c>
      <c r="D225">
        <v>34</v>
      </c>
      <c r="E225">
        <v>339</v>
      </c>
      <c r="F225">
        <v>3352</v>
      </c>
      <c r="G225">
        <v>57.8</v>
      </c>
      <c r="H225">
        <v>3497</v>
      </c>
      <c r="I225">
        <v>-63.32</v>
      </c>
      <c r="J225">
        <v>-44.244999999999997</v>
      </c>
      <c r="K225">
        <v>705.63</v>
      </c>
      <c r="L225">
        <v>-1034.9000000000001</v>
      </c>
      <c r="M225">
        <v>418.1</v>
      </c>
      <c r="N225">
        <v>40.698999999999998</v>
      </c>
      <c r="O225">
        <v>42.497999999999998</v>
      </c>
      <c r="P225">
        <v>23.943999999999999</v>
      </c>
      <c r="Q225">
        <v>-64.594999999999999</v>
      </c>
      <c r="R225">
        <v>99.617999999999995</v>
      </c>
      <c r="S225">
        <v>-42.015999999999998</v>
      </c>
      <c r="T225">
        <v>124.23</v>
      </c>
      <c r="U225">
        <v>-275.95999999999998</v>
      </c>
      <c r="V225">
        <v>801.35</v>
      </c>
      <c r="W225">
        <v>-1121.7</v>
      </c>
      <c r="X225">
        <v>720.12</v>
      </c>
      <c r="Y225">
        <v>-166.88</v>
      </c>
      <c r="Z225">
        <v>95.379000000000005</v>
      </c>
      <c r="AA225">
        <v>-94.293999999999997</v>
      </c>
      <c r="AB225">
        <v>361.45</v>
      </c>
      <c r="AC225">
        <v>-611.59</v>
      </c>
      <c r="AD225">
        <v>493.84</v>
      </c>
      <c r="AE225">
        <v>-156.4</v>
      </c>
      <c r="AF225">
        <v>5.62</v>
      </c>
      <c r="AG225">
        <v>3495</v>
      </c>
      <c r="AH225">
        <v>950</v>
      </c>
    </row>
    <row r="226" spans="1:34" x14ac:dyDescent="0.3">
      <c r="A226" t="s">
        <v>424</v>
      </c>
      <c r="B226" s="114" t="s">
        <v>378</v>
      </c>
      <c r="C226" t="s">
        <v>547</v>
      </c>
      <c r="D226">
        <v>34</v>
      </c>
      <c r="E226">
        <v>365</v>
      </c>
      <c r="F226">
        <v>3156</v>
      </c>
      <c r="G226">
        <v>66.400000000000006</v>
      </c>
      <c r="H226">
        <v>3497</v>
      </c>
      <c r="I226">
        <v>-63.32</v>
      </c>
      <c r="J226">
        <v>-44.244999999999997</v>
      </c>
      <c r="K226">
        <v>705.63</v>
      </c>
      <c r="L226">
        <v>-1034.9000000000001</v>
      </c>
      <c r="M226">
        <v>418.1</v>
      </c>
      <c r="N226">
        <v>40.698999999999998</v>
      </c>
      <c r="O226">
        <v>42.497999999999998</v>
      </c>
      <c r="P226">
        <v>23.943999999999999</v>
      </c>
      <c r="Q226">
        <v>-64.594999999999999</v>
      </c>
      <c r="R226">
        <v>99.617999999999995</v>
      </c>
      <c r="S226">
        <v>-42.015999999999998</v>
      </c>
      <c r="T226">
        <v>124.23</v>
      </c>
      <c r="U226">
        <v>-275.95999999999998</v>
      </c>
      <c r="V226">
        <v>801.35</v>
      </c>
      <c r="W226">
        <v>-1121.7</v>
      </c>
      <c r="X226">
        <v>720.12</v>
      </c>
      <c r="Y226">
        <v>-166.88</v>
      </c>
      <c r="Z226">
        <v>95.379000000000005</v>
      </c>
      <c r="AA226">
        <v>-94.293999999999997</v>
      </c>
      <c r="AB226">
        <v>361.45</v>
      </c>
      <c r="AC226">
        <v>-611.59</v>
      </c>
      <c r="AD226">
        <v>493.84</v>
      </c>
      <c r="AE226">
        <v>-156.4</v>
      </c>
      <c r="AF226">
        <v>5.62</v>
      </c>
      <c r="AG226">
        <v>3495</v>
      </c>
      <c r="AH226">
        <v>950</v>
      </c>
    </row>
    <row r="227" spans="1:34" x14ac:dyDescent="0.3">
      <c r="A227" t="s">
        <v>424</v>
      </c>
      <c r="B227" s="114" t="s">
        <v>378</v>
      </c>
      <c r="C227" t="s">
        <v>548</v>
      </c>
      <c r="D227">
        <v>25.7</v>
      </c>
      <c r="E227">
        <v>261</v>
      </c>
      <c r="F227">
        <v>2032</v>
      </c>
      <c r="G227">
        <v>66.400000000000006</v>
      </c>
      <c r="H227">
        <v>3497</v>
      </c>
      <c r="I227">
        <v>-63.32</v>
      </c>
      <c r="J227">
        <v>-44.244999999999997</v>
      </c>
      <c r="K227">
        <v>705.63</v>
      </c>
      <c r="L227">
        <v>-1034.9000000000001</v>
      </c>
      <c r="M227">
        <v>418.1</v>
      </c>
      <c r="N227">
        <v>40.698999999999998</v>
      </c>
      <c r="O227">
        <v>42.497999999999998</v>
      </c>
      <c r="P227">
        <v>23.943999999999999</v>
      </c>
      <c r="Q227">
        <v>-64.594999999999999</v>
      </c>
      <c r="R227">
        <v>99.617999999999995</v>
      </c>
      <c r="S227">
        <v>-42.015999999999998</v>
      </c>
      <c r="T227">
        <v>124.23</v>
      </c>
      <c r="U227">
        <v>-275.95999999999998</v>
      </c>
      <c r="V227">
        <v>801.35</v>
      </c>
      <c r="W227">
        <v>-1121.7</v>
      </c>
      <c r="X227">
        <v>720.12</v>
      </c>
      <c r="Y227">
        <v>-166.88</v>
      </c>
      <c r="Z227">
        <v>95.379000000000005</v>
      </c>
      <c r="AA227">
        <v>-94.293999999999997</v>
      </c>
      <c r="AB227">
        <v>361.45</v>
      </c>
      <c r="AC227">
        <v>-611.59</v>
      </c>
      <c r="AD227">
        <v>493.84</v>
      </c>
      <c r="AE227">
        <v>-156.4</v>
      </c>
      <c r="AF227">
        <v>5.62</v>
      </c>
      <c r="AG227">
        <v>3495</v>
      </c>
      <c r="AH227">
        <v>950</v>
      </c>
    </row>
    <row r="228" spans="1:34" x14ac:dyDescent="0.3">
      <c r="A228" t="s">
        <v>424</v>
      </c>
      <c r="B228" s="114" t="s">
        <v>378</v>
      </c>
      <c r="C228" t="s">
        <v>549</v>
      </c>
      <c r="D228">
        <v>25.7</v>
      </c>
      <c r="E228">
        <v>157</v>
      </c>
      <c r="F228">
        <v>2962</v>
      </c>
      <c r="G228">
        <v>30.7</v>
      </c>
      <c r="H228">
        <v>3497</v>
      </c>
      <c r="I228">
        <v>-63.32</v>
      </c>
      <c r="J228">
        <v>-44.244999999999997</v>
      </c>
      <c r="K228">
        <v>705.63</v>
      </c>
      <c r="L228">
        <v>-1034.9000000000001</v>
      </c>
      <c r="M228">
        <v>418.1</v>
      </c>
      <c r="N228">
        <v>40.698999999999998</v>
      </c>
      <c r="O228">
        <v>42.497999999999998</v>
      </c>
      <c r="P228">
        <v>23.943999999999999</v>
      </c>
      <c r="Q228">
        <v>-64.594999999999999</v>
      </c>
      <c r="R228">
        <v>99.617999999999995</v>
      </c>
      <c r="S228">
        <v>-42.015999999999998</v>
      </c>
      <c r="T228">
        <v>124.23</v>
      </c>
      <c r="U228">
        <v>-275.95999999999998</v>
      </c>
      <c r="V228">
        <v>801.35</v>
      </c>
      <c r="W228">
        <v>-1121.7</v>
      </c>
      <c r="X228">
        <v>720.12</v>
      </c>
      <c r="Y228">
        <v>-166.88</v>
      </c>
      <c r="Z228">
        <v>95.379000000000005</v>
      </c>
      <c r="AA228">
        <v>-94.293999999999997</v>
      </c>
      <c r="AB228">
        <v>361.45</v>
      </c>
      <c r="AC228">
        <v>-611.59</v>
      </c>
      <c r="AD228">
        <v>493.84</v>
      </c>
      <c r="AE228">
        <v>-156.4</v>
      </c>
      <c r="AF228">
        <v>5.62</v>
      </c>
      <c r="AG228">
        <v>3495</v>
      </c>
      <c r="AH228">
        <v>950</v>
      </c>
    </row>
    <row r="229" spans="1:34" x14ac:dyDescent="0.3">
      <c r="A229" t="s">
        <v>424</v>
      </c>
      <c r="B229" s="114" t="s">
        <v>378</v>
      </c>
      <c r="C229" t="s">
        <v>550</v>
      </c>
      <c r="D229">
        <v>25.7</v>
      </c>
      <c r="E229">
        <v>287</v>
      </c>
      <c r="F229">
        <v>3255</v>
      </c>
      <c r="G229">
        <v>51.5</v>
      </c>
      <c r="H229">
        <v>3497</v>
      </c>
      <c r="I229">
        <v>-63.32</v>
      </c>
      <c r="J229">
        <v>-44.244999999999997</v>
      </c>
      <c r="K229">
        <v>705.63</v>
      </c>
      <c r="L229">
        <v>-1034.9000000000001</v>
      </c>
      <c r="M229">
        <v>418.1</v>
      </c>
      <c r="N229">
        <v>40.698999999999998</v>
      </c>
      <c r="O229">
        <v>42.497999999999998</v>
      </c>
      <c r="P229">
        <v>23.943999999999999</v>
      </c>
      <c r="Q229">
        <v>-64.594999999999999</v>
      </c>
      <c r="R229">
        <v>99.617999999999995</v>
      </c>
      <c r="S229">
        <v>-42.015999999999998</v>
      </c>
      <c r="T229">
        <v>124.23</v>
      </c>
      <c r="U229">
        <v>-275.95999999999998</v>
      </c>
      <c r="V229">
        <v>801.35</v>
      </c>
      <c r="W229">
        <v>-1121.7</v>
      </c>
      <c r="X229">
        <v>720.12</v>
      </c>
      <c r="Y229">
        <v>-166.88</v>
      </c>
      <c r="Z229">
        <v>95.379000000000005</v>
      </c>
      <c r="AA229">
        <v>-94.293999999999997</v>
      </c>
      <c r="AB229">
        <v>361.45</v>
      </c>
      <c r="AC229">
        <v>-611.59</v>
      </c>
      <c r="AD229">
        <v>493.84</v>
      </c>
      <c r="AE229">
        <v>-156.4</v>
      </c>
      <c r="AF229">
        <v>5.62</v>
      </c>
      <c r="AG229">
        <v>3495</v>
      </c>
      <c r="AH229">
        <v>950</v>
      </c>
    </row>
    <row r="230" spans="1:34" x14ac:dyDescent="0.3">
      <c r="A230" t="s">
        <v>424</v>
      </c>
      <c r="B230" s="114" t="s">
        <v>378</v>
      </c>
      <c r="C230" t="s">
        <v>551</v>
      </c>
      <c r="D230">
        <v>25.7</v>
      </c>
      <c r="E230">
        <v>150</v>
      </c>
      <c r="F230">
        <v>3190</v>
      </c>
      <c r="G230">
        <v>29</v>
      </c>
      <c r="H230">
        <v>3497</v>
      </c>
      <c r="I230">
        <v>-63.32</v>
      </c>
      <c r="J230">
        <v>-44.244999999999997</v>
      </c>
      <c r="K230">
        <v>705.63</v>
      </c>
      <c r="L230">
        <v>-1034.9000000000001</v>
      </c>
      <c r="M230">
        <v>418.1</v>
      </c>
      <c r="N230">
        <v>40.698999999999998</v>
      </c>
      <c r="O230">
        <v>42.497999999999998</v>
      </c>
      <c r="P230">
        <v>23.943999999999999</v>
      </c>
      <c r="Q230">
        <v>-64.594999999999999</v>
      </c>
      <c r="R230">
        <v>99.617999999999995</v>
      </c>
      <c r="S230">
        <v>-42.015999999999998</v>
      </c>
      <c r="T230">
        <v>124.23</v>
      </c>
      <c r="U230">
        <v>-275.95999999999998</v>
      </c>
      <c r="V230">
        <v>801.35</v>
      </c>
      <c r="W230">
        <v>-1121.7</v>
      </c>
      <c r="X230">
        <v>720.12</v>
      </c>
      <c r="Y230">
        <v>-166.88</v>
      </c>
      <c r="Z230">
        <v>95.379000000000005</v>
      </c>
      <c r="AA230">
        <v>-94.293999999999997</v>
      </c>
      <c r="AB230">
        <v>361.45</v>
      </c>
      <c r="AC230">
        <v>-611.59</v>
      </c>
      <c r="AD230">
        <v>493.84</v>
      </c>
      <c r="AE230">
        <v>-156.4</v>
      </c>
      <c r="AF230">
        <v>5.62</v>
      </c>
      <c r="AG230">
        <v>3495</v>
      </c>
      <c r="AH230">
        <v>950</v>
      </c>
    </row>
    <row r="231" spans="1:34" x14ac:dyDescent="0.3">
      <c r="A231" t="s">
        <v>424</v>
      </c>
      <c r="B231" s="114" t="s">
        <v>425</v>
      </c>
      <c r="C231" t="s">
        <v>552</v>
      </c>
      <c r="D231">
        <v>31</v>
      </c>
      <c r="E231">
        <v>240</v>
      </c>
      <c r="F231">
        <v>2854</v>
      </c>
      <c r="G231">
        <v>46</v>
      </c>
      <c r="H231">
        <v>3546.2272727272298</v>
      </c>
      <c r="I231">
        <v>236.12500000040501</v>
      </c>
      <c r="J231">
        <v>-1133.9233682997501</v>
      </c>
      <c r="K231">
        <v>1748.61596736811</v>
      </c>
      <c r="L231">
        <v>-1316.2878787894199</v>
      </c>
      <c r="M231">
        <v>368.58974359016202</v>
      </c>
      <c r="N231">
        <v>33.045454545453801</v>
      </c>
      <c r="O231">
        <v>58.639277389283698</v>
      </c>
      <c r="P231">
        <v>4.18123543121499</v>
      </c>
      <c r="Q231">
        <v>3.2051282051591401</v>
      </c>
      <c r="R231">
        <v>1.4568764568543</v>
      </c>
      <c r="S231">
        <v>6.0492590746374096E-12</v>
      </c>
      <c r="T231">
        <v>42.231818181816102</v>
      </c>
      <c r="U231">
        <v>-61.005944055924999</v>
      </c>
      <c r="V231">
        <v>624.51631701625797</v>
      </c>
      <c r="W231">
        <v>-1125.14568764561</v>
      </c>
      <c r="X231">
        <v>811.77156177151096</v>
      </c>
      <c r="Y231">
        <v>-211.53846153845001</v>
      </c>
      <c r="Z231">
        <v>6.66818181818204</v>
      </c>
      <c r="AA231">
        <v>174.41488927738601</v>
      </c>
      <c r="AB231">
        <v>88.814831002346907</v>
      </c>
      <c r="AC231">
        <v>-562.33245920749198</v>
      </c>
      <c r="AD231">
        <v>540.42832167835002</v>
      </c>
      <c r="AE231">
        <v>-165.06410256411201</v>
      </c>
      <c r="AF231">
        <v>4.5599999999999996</v>
      </c>
      <c r="AG231">
        <v>3500</v>
      </c>
      <c r="AH231">
        <v>450</v>
      </c>
    </row>
    <row r="232" spans="1:34" x14ac:dyDescent="0.3">
      <c r="A232" t="s">
        <v>424</v>
      </c>
      <c r="B232" s="114" t="s">
        <v>378</v>
      </c>
      <c r="C232" t="s">
        <v>553</v>
      </c>
      <c r="D232">
        <v>34</v>
      </c>
      <c r="E232">
        <v>391</v>
      </c>
      <c r="F232">
        <v>3303</v>
      </c>
      <c r="G232">
        <v>66.400000000000006</v>
      </c>
      <c r="H232">
        <v>3497</v>
      </c>
      <c r="I232">
        <v>-63.32</v>
      </c>
      <c r="J232">
        <v>-44.244999999999997</v>
      </c>
      <c r="K232">
        <v>705.63</v>
      </c>
      <c r="L232">
        <v>-1034.9000000000001</v>
      </c>
      <c r="M232">
        <v>418.1</v>
      </c>
      <c r="N232">
        <v>40.698999999999998</v>
      </c>
      <c r="O232">
        <v>42.497999999999998</v>
      </c>
      <c r="P232">
        <v>23.943999999999999</v>
      </c>
      <c r="Q232">
        <v>-64.594999999999999</v>
      </c>
      <c r="R232">
        <v>99.617999999999995</v>
      </c>
      <c r="S232">
        <v>-42.015999999999998</v>
      </c>
      <c r="T232">
        <v>124.23</v>
      </c>
      <c r="U232">
        <v>-275.95999999999998</v>
      </c>
      <c r="V232">
        <v>801.35</v>
      </c>
      <c r="W232">
        <v>-1121.7</v>
      </c>
      <c r="X232">
        <v>720.12</v>
      </c>
      <c r="Y232">
        <v>-166.88</v>
      </c>
      <c r="Z232">
        <v>95.379000000000005</v>
      </c>
      <c r="AA232">
        <v>-94.293999999999997</v>
      </c>
      <c r="AB232">
        <v>361.45</v>
      </c>
      <c r="AC232">
        <v>-611.59</v>
      </c>
      <c r="AD232">
        <v>493.84</v>
      </c>
      <c r="AE232">
        <v>-156.4</v>
      </c>
      <c r="AF232">
        <v>5.62</v>
      </c>
      <c r="AG232">
        <v>3495</v>
      </c>
      <c r="AH232">
        <v>950</v>
      </c>
    </row>
    <row r="233" spans="1:34" x14ac:dyDescent="0.3">
      <c r="A233" t="s">
        <v>424</v>
      </c>
      <c r="B233" s="114" t="s">
        <v>378</v>
      </c>
      <c r="C233" t="s">
        <v>554</v>
      </c>
      <c r="D233">
        <v>68</v>
      </c>
      <c r="E233">
        <v>626</v>
      </c>
      <c r="F233">
        <v>3018</v>
      </c>
      <c r="G233">
        <v>116.5</v>
      </c>
      <c r="H233">
        <v>3497</v>
      </c>
      <c r="I233">
        <v>-63.32</v>
      </c>
      <c r="J233">
        <v>-44.244999999999997</v>
      </c>
      <c r="K233">
        <v>705.63</v>
      </c>
      <c r="L233">
        <v>-1034.9000000000001</v>
      </c>
      <c r="M233">
        <v>418.1</v>
      </c>
      <c r="N233">
        <v>40.698999999999998</v>
      </c>
      <c r="O233">
        <v>42.497999999999998</v>
      </c>
      <c r="P233">
        <v>23.943999999999999</v>
      </c>
      <c r="Q233">
        <v>-64.594999999999999</v>
      </c>
      <c r="R233">
        <v>99.617999999999995</v>
      </c>
      <c r="S233">
        <v>-42.015999999999998</v>
      </c>
      <c r="T233">
        <v>124.23</v>
      </c>
      <c r="U233">
        <v>-275.95999999999998</v>
      </c>
      <c r="V233">
        <v>801.35</v>
      </c>
      <c r="W233">
        <v>-1121.7</v>
      </c>
      <c r="X233">
        <v>720.12</v>
      </c>
      <c r="Y233">
        <v>-166.88</v>
      </c>
      <c r="Z233">
        <v>95.379000000000005</v>
      </c>
      <c r="AA233">
        <v>-94.293999999999997</v>
      </c>
      <c r="AB233">
        <v>361.45</v>
      </c>
      <c r="AC233">
        <v>-611.59</v>
      </c>
      <c r="AD233">
        <v>493.84</v>
      </c>
      <c r="AE233">
        <v>-156.4</v>
      </c>
      <c r="AF233">
        <v>5.62</v>
      </c>
      <c r="AG233">
        <v>3495</v>
      </c>
      <c r="AH233">
        <v>950</v>
      </c>
    </row>
    <row r="234" spans="1:34" x14ac:dyDescent="0.3">
      <c r="A234" t="s">
        <v>424</v>
      </c>
      <c r="B234" s="114" t="s">
        <v>378</v>
      </c>
      <c r="C234" t="s">
        <v>555</v>
      </c>
      <c r="D234">
        <v>68</v>
      </c>
      <c r="E234">
        <v>783</v>
      </c>
      <c r="F234">
        <v>3454</v>
      </c>
      <c r="G234">
        <v>132.80000000000001</v>
      </c>
      <c r="H234">
        <v>3497</v>
      </c>
      <c r="I234">
        <v>-63.32</v>
      </c>
      <c r="J234">
        <v>-44.244999999999997</v>
      </c>
      <c r="K234">
        <v>705.63</v>
      </c>
      <c r="L234">
        <v>-1034.9000000000001</v>
      </c>
      <c r="M234">
        <v>418.1</v>
      </c>
      <c r="N234">
        <v>40.698999999999998</v>
      </c>
      <c r="O234">
        <v>42.497999999999998</v>
      </c>
      <c r="P234">
        <v>23.943999999999999</v>
      </c>
      <c r="Q234">
        <v>-64.594999999999999</v>
      </c>
      <c r="R234">
        <v>99.617999999999995</v>
      </c>
      <c r="S234">
        <v>-42.015999999999998</v>
      </c>
      <c r="T234">
        <v>124.23</v>
      </c>
      <c r="U234">
        <v>-275.95999999999998</v>
      </c>
      <c r="V234">
        <v>801.35</v>
      </c>
      <c r="W234">
        <v>-1121.7</v>
      </c>
      <c r="X234">
        <v>720.12</v>
      </c>
      <c r="Y234">
        <v>-166.88</v>
      </c>
      <c r="Z234">
        <v>95.379000000000005</v>
      </c>
      <c r="AA234">
        <v>-94.293999999999997</v>
      </c>
      <c r="AB234">
        <v>361.45</v>
      </c>
      <c r="AC234">
        <v>-611.59</v>
      </c>
      <c r="AD234">
        <v>493.84</v>
      </c>
      <c r="AE234">
        <v>-156.4</v>
      </c>
      <c r="AF234">
        <v>5.62</v>
      </c>
      <c r="AG234">
        <v>3495</v>
      </c>
      <c r="AH234">
        <v>950</v>
      </c>
    </row>
    <row r="235" spans="1:34" x14ac:dyDescent="0.3">
      <c r="A235" t="s">
        <v>424</v>
      </c>
      <c r="B235" s="114" t="s">
        <v>378</v>
      </c>
      <c r="C235" t="s">
        <v>556</v>
      </c>
      <c r="D235">
        <v>68</v>
      </c>
      <c r="E235">
        <v>522</v>
      </c>
      <c r="F235">
        <v>3062</v>
      </c>
      <c r="G235">
        <v>92.6</v>
      </c>
      <c r="H235">
        <v>3497</v>
      </c>
      <c r="I235">
        <v>-63.32</v>
      </c>
      <c r="J235">
        <v>-44.244999999999997</v>
      </c>
      <c r="K235">
        <v>705.63</v>
      </c>
      <c r="L235">
        <v>-1034.9000000000001</v>
      </c>
      <c r="M235">
        <v>418.1</v>
      </c>
      <c r="N235">
        <v>40.698999999999998</v>
      </c>
      <c r="O235">
        <v>42.497999999999998</v>
      </c>
      <c r="P235">
        <v>23.943999999999999</v>
      </c>
      <c r="Q235">
        <v>-64.594999999999999</v>
      </c>
      <c r="R235">
        <v>99.617999999999995</v>
      </c>
      <c r="S235">
        <v>-42.015999999999998</v>
      </c>
      <c r="T235">
        <v>124.23</v>
      </c>
      <c r="U235">
        <v>-275.95999999999998</v>
      </c>
      <c r="V235">
        <v>801.35</v>
      </c>
      <c r="W235">
        <v>-1121.7</v>
      </c>
      <c r="X235">
        <v>720.12</v>
      </c>
      <c r="Y235">
        <v>-166.88</v>
      </c>
      <c r="Z235">
        <v>95.379000000000005</v>
      </c>
      <c r="AA235">
        <v>-94.293999999999997</v>
      </c>
      <c r="AB235">
        <v>361.45</v>
      </c>
      <c r="AC235">
        <v>-611.59</v>
      </c>
      <c r="AD235">
        <v>493.84</v>
      </c>
      <c r="AE235">
        <v>-156.4</v>
      </c>
      <c r="AF235">
        <v>5.62</v>
      </c>
      <c r="AG235">
        <v>3495</v>
      </c>
      <c r="AH235">
        <v>950</v>
      </c>
    </row>
    <row r="236" spans="1:34" x14ac:dyDescent="0.3">
      <c r="A236" t="s">
        <v>424</v>
      </c>
      <c r="B236" s="114" t="s">
        <v>378</v>
      </c>
      <c r="C236" t="s">
        <v>557</v>
      </c>
      <c r="D236">
        <v>68</v>
      </c>
      <c r="E236">
        <v>313</v>
      </c>
      <c r="F236">
        <v>3093</v>
      </c>
      <c r="G236">
        <v>57.8</v>
      </c>
      <c r="H236">
        <v>3497</v>
      </c>
      <c r="I236">
        <v>-63.32</v>
      </c>
      <c r="J236">
        <v>-44.244999999999997</v>
      </c>
      <c r="K236">
        <v>705.63</v>
      </c>
      <c r="L236">
        <v>-1034.9000000000001</v>
      </c>
      <c r="M236">
        <v>418.1</v>
      </c>
      <c r="N236">
        <v>40.698999999999998</v>
      </c>
      <c r="O236">
        <v>42.497999999999998</v>
      </c>
      <c r="P236">
        <v>23.943999999999999</v>
      </c>
      <c r="Q236">
        <v>-64.594999999999999</v>
      </c>
      <c r="R236">
        <v>99.617999999999995</v>
      </c>
      <c r="S236">
        <v>-42.015999999999998</v>
      </c>
      <c r="T236">
        <v>124.23</v>
      </c>
      <c r="U236">
        <v>-275.95999999999998</v>
      </c>
      <c r="V236">
        <v>801.35</v>
      </c>
      <c r="W236">
        <v>-1121.7</v>
      </c>
      <c r="X236">
        <v>720.12</v>
      </c>
      <c r="Y236">
        <v>-166.88</v>
      </c>
      <c r="Z236">
        <v>95.379000000000005</v>
      </c>
      <c r="AA236">
        <v>-94.293999999999997</v>
      </c>
      <c r="AB236">
        <v>361.45</v>
      </c>
      <c r="AC236">
        <v>-611.59</v>
      </c>
      <c r="AD236">
        <v>493.84</v>
      </c>
      <c r="AE236">
        <v>-156.4</v>
      </c>
      <c r="AF236">
        <v>5.62</v>
      </c>
      <c r="AG236">
        <v>3495</v>
      </c>
      <c r="AH236">
        <v>950</v>
      </c>
    </row>
    <row r="237" spans="1:34" x14ac:dyDescent="0.3">
      <c r="A237" t="s">
        <v>424</v>
      </c>
      <c r="B237" s="114" t="s">
        <v>378</v>
      </c>
      <c r="C237" t="s">
        <v>547</v>
      </c>
      <c r="D237">
        <v>68</v>
      </c>
      <c r="E237">
        <v>365</v>
      </c>
      <c r="F237">
        <v>3156</v>
      </c>
      <c r="G237">
        <v>66.400000000000006</v>
      </c>
      <c r="H237">
        <v>3497</v>
      </c>
      <c r="I237">
        <v>-63.32</v>
      </c>
      <c r="J237">
        <v>-44.244999999999997</v>
      </c>
      <c r="K237">
        <v>705.63</v>
      </c>
      <c r="L237">
        <v>-1034.9000000000001</v>
      </c>
      <c r="M237">
        <v>418.1</v>
      </c>
      <c r="N237">
        <v>40.698999999999998</v>
      </c>
      <c r="O237">
        <v>42.497999999999998</v>
      </c>
      <c r="P237">
        <v>23.943999999999999</v>
      </c>
      <c r="Q237">
        <v>-64.594999999999999</v>
      </c>
      <c r="R237">
        <v>99.617999999999995</v>
      </c>
      <c r="S237">
        <v>-42.015999999999998</v>
      </c>
      <c r="T237">
        <v>124.23</v>
      </c>
      <c r="U237">
        <v>-275.95999999999998</v>
      </c>
      <c r="V237">
        <v>801.35</v>
      </c>
      <c r="W237">
        <v>-1121.7</v>
      </c>
      <c r="X237">
        <v>720.12</v>
      </c>
      <c r="Y237">
        <v>-166.88</v>
      </c>
      <c r="Z237">
        <v>95.379000000000005</v>
      </c>
      <c r="AA237">
        <v>-94.293999999999997</v>
      </c>
      <c r="AB237">
        <v>361.45</v>
      </c>
      <c r="AC237">
        <v>-611.59</v>
      </c>
      <c r="AD237">
        <v>493.84</v>
      </c>
      <c r="AE237">
        <v>-156.4</v>
      </c>
      <c r="AF237">
        <v>5.62</v>
      </c>
      <c r="AG237">
        <v>3495</v>
      </c>
      <c r="AH237">
        <v>950</v>
      </c>
    </row>
    <row r="238" spans="1:34" x14ac:dyDescent="0.3">
      <c r="A238" t="s">
        <v>424</v>
      </c>
      <c r="B238" s="114" t="s">
        <v>378</v>
      </c>
      <c r="C238" t="s">
        <v>558</v>
      </c>
      <c r="D238">
        <v>68</v>
      </c>
      <c r="E238">
        <v>183</v>
      </c>
      <c r="F238">
        <v>3384</v>
      </c>
      <c r="G238">
        <v>30.7</v>
      </c>
      <c r="H238">
        <v>3497</v>
      </c>
      <c r="I238">
        <v>-63.32</v>
      </c>
      <c r="J238">
        <v>-44.244999999999997</v>
      </c>
      <c r="K238">
        <v>705.63</v>
      </c>
      <c r="L238">
        <v>-1034.9000000000001</v>
      </c>
      <c r="M238">
        <v>418.1</v>
      </c>
      <c r="N238">
        <v>40.698999999999998</v>
      </c>
      <c r="O238">
        <v>42.497999999999998</v>
      </c>
      <c r="P238">
        <v>23.943999999999999</v>
      </c>
      <c r="Q238">
        <v>-64.594999999999999</v>
      </c>
      <c r="R238">
        <v>99.617999999999995</v>
      </c>
      <c r="S238">
        <v>-42.015999999999998</v>
      </c>
      <c r="T238">
        <v>124.23</v>
      </c>
      <c r="U238">
        <v>-275.95999999999998</v>
      </c>
      <c r="V238">
        <v>801.35</v>
      </c>
      <c r="W238">
        <v>-1121.7</v>
      </c>
      <c r="X238">
        <v>720.12</v>
      </c>
      <c r="Y238">
        <v>-166.88</v>
      </c>
      <c r="Z238">
        <v>95.379000000000005</v>
      </c>
      <c r="AA238">
        <v>-94.293999999999997</v>
      </c>
      <c r="AB238">
        <v>361.45</v>
      </c>
      <c r="AC238">
        <v>-611.59</v>
      </c>
      <c r="AD238">
        <v>493.84</v>
      </c>
      <c r="AE238">
        <v>-156.4</v>
      </c>
      <c r="AF238">
        <v>5.62</v>
      </c>
      <c r="AG238">
        <v>3495</v>
      </c>
      <c r="AH238">
        <v>950</v>
      </c>
    </row>
    <row r="239" spans="1:34" x14ac:dyDescent="0.3">
      <c r="A239" t="s">
        <v>424</v>
      </c>
      <c r="B239" s="114" t="s">
        <v>378</v>
      </c>
      <c r="C239" t="s">
        <v>559</v>
      </c>
      <c r="D239">
        <v>68</v>
      </c>
      <c r="E239">
        <v>450</v>
      </c>
      <c r="F239">
        <v>3032</v>
      </c>
      <c r="G239">
        <v>86.7</v>
      </c>
      <c r="H239">
        <v>3497</v>
      </c>
      <c r="I239">
        <v>-63.32</v>
      </c>
      <c r="J239">
        <v>-44.244999999999997</v>
      </c>
      <c r="K239">
        <v>705.63</v>
      </c>
      <c r="L239">
        <v>-1034.9000000000001</v>
      </c>
      <c r="M239">
        <v>418.1</v>
      </c>
      <c r="N239">
        <v>40.698999999999998</v>
      </c>
      <c r="O239">
        <v>42.497999999999998</v>
      </c>
      <c r="P239">
        <v>23.943999999999999</v>
      </c>
      <c r="Q239">
        <v>-64.594999999999999</v>
      </c>
      <c r="R239">
        <v>99.617999999999995</v>
      </c>
      <c r="S239">
        <v>-42.015999999999998</v>
      </c>
      <c r="T239">
        <v>124.23</v>
      </c>
      <c r="U239">
        <v>-275.95999999999998</v>
      </c>
      <c r="V239">
        <v>801.35</v>
      </c>
      <c r="W239">
        <v>-1121.7</v>
      </c>
      <c r="X239">
        <v>720.12</v>
      </c>
      <c r="Y239">
        <v>-166.88</v>
      </c>
      <c r="Z239">
        <v>95.379000000000005</v>
      </c>
      <c r="AA239">
        <v>-94.293999999999997</v>
      </c>
      <c r="AB239">
        <v>361.45</v>
      </c>
      <c r="AC239">
        <v>-611.59</v>
      </c>
      <c r="AD239">
        <v>493.84</v>
      </c>
      <c r="AE239">
        <v>-156.4</v>
      </c>
      <c r="AF239">
        <v>5.62</v>
      </c>
      <c r="AG239">
        <v>3495</v>
      </c>
      <c r="AH239">
        <v>950</v>
      </c>
    </row>
    <row r="240" spans="1:34" x14ac:dyDescent="0.3">
      <c r="A240" t="s">
        <v>424</v>
      </c>
      <c r="B240" s="114" t="s">
        <v>378</v>
      </c>
      <c r="C240" t="s">
        <v>560</v>
      </c>
      <c r="D240">
        <v>25.7</v>
      </c>
      <c r="E240">
        <v>157</v>
      </c>
      <c r="F240">
        <v>3032</v>
      </c>
      <c r="G240">
        <v>30.7</v>
      </c>
      <c r="H240">
        <v>3497</v>
      </c>
      <c r="I240">
        <v>-63.32</v>
      </c>
      <c r="J240">
        <v>-44.244999999999997</v>
      </c>
      <c r="K240">
        <v>705.63</v>
      </c>
      <c r="L240">
        <v>-1034.9000000000001</v>
      </c>
      <c r="M240">
        <v>418.1</v>
      </c>
      <c r="N240">
        <v>40.698999999999998</v>
      </c>
      <c r="O240">
        <v>42.497999999999998</v>
      </c>
      <c r="P240">
        <v>23.943999999999999</v>
      </c>
      <c r="Q240">
        <v>-64.594999999999999</v>
      </c>
      <c r="R240">
        <v>99.617999999999995</v>
      </c>
      <c r="S240">
        <v>-42.015999999999998</v>
      </c>
      <c r="T240">
        <v>124.23</v>
      </c>
      <c r="U240">
        <v>-275.95999999999998</v>
      </c>
      <c r="V240">
        <v>801.35</v>
      </c>
      <c r="W240">
        <v>-1121.7</v>
      </c>
      <c r="X240">
        <v>720.12</v>
      </c>
      <c r="Y240">
        <v>-166.88</v>
      </c>
      <c r="Z240">
        <v>95.379000000000005</v>
      </c>
      <c r="AA240">
        <v>-94.293999999999997</v>
      </c>
      <c r="AB240">
        <v>361.45</v>
      </c>
      <c r="AC240">
        <v>-611.59</v>
      </c>
      <c r="AD240">
        <v>493.84</v>
      </c>
      <c r="AE240">
        <v>-156.4</v>
      </c>
      <c r="AF240">
        <v>5.62</v>
      </c>
      <c r="AG240">
        <v>3495</v>
      </c>
      <c r="AH240">
        <v>950</v>
      </c>
    </row>
    <row r="241" spans="1:34" x14ac:dyDescent="0.3">
      <c r="A241" t="s">
        <v>424</v>
      </c>
      <c r="B241" s="114" t="s">
        <v>378</v>
      </c>
      <c r="C241" t="s">
        <v>561</v>
      </c>
      <c r="D241">
        <v>25.7</v>
      </c>
      <c r="E241">
        <v>261</v>
      </c>
      <c r="F241">
        <v>2303</v>
      </c>
      <c r="G241">
        <v>66.400000000000006</v>
      </c>
      <c r="H241">
        <v>3497</v>
      </c>
      <c r="I241">
        <v>-63.32</v>
      </c>
      <c r="J241">
        <v>-44.244999999999997</v>
      </c>
      <c r="K241">
        <v>705.63</v>
      </c>
      <c r="L241">
        <v>-1034.9000000000001</v>
      </c>
      <c r="M241">
        <v>418.1</v>
      </c>
      <c r="N241">
        <v>40.698999999999998</v>
      </c>
      <c r="O241">
        <v>42.497999999999998</v>
      </c>
      <c r="P241">
        <v>23.943999999999999</v>
      </c>
      <c r="Q241">
        <v>-64.594999999999999</v>
      </c>
      <c r="R241">
        <v>99.617999999999995</v>
      </c>
      <c r="S241">
        <v>-42.015999999999998</v>
      </c>
      <c r="T241">
        <v>124.23</v>
      </c>
      <c r="U241">
        <v>-275.95999999999998</v>
      </c>
      <c r="V241">
        <v>801.35</v>
      </c>
      <c r="W241">
        <v>-1121.7</v>
      </c>
      <c r="X241">
        <v>720.12</v>
      </c>
      <c r="Y241">
        <v>-166.88</v>
      </c>
      <c r="Z241">
        <v>95.379000000000005</v>
      </c>
      <c r="AA241">
        <v>-94.293999999999997</v>
      </c>
      <c r="AB241">
        <v>361.45</v>
      </c>
      <c r="AC241">
        <v>-611.59</v>
      </c>
      <c r="AD241">
        <v>493.84</v>
      </c>
      <c r="AE241">
        <v>-156.4</v>
      </c>
      <c r="AF241">
        <v>5.62</v>
      </c>
      <c r="AG241">
        <v>3495</v>
      </c>
      <c r="AH241">
        <v>950</v>
      </c>
    </row>
    <row r="242" spans="1:34" x14ac:dyDescent="0.3">
      <c r="A242" t="s">
        <v>424</v>
      </c>
      <c r="B242" s="114" t="s">
        <v>378</v>
      </c>
      <c r="C242" t="s">
        <v>562</v>
      </c>
      <c r="D242">
        <v>25.7</v>
      </c>
      <c r="E242">
        <v>287</v>
      </c>
      <c r="F242">
        <v>3112</v>
      </c>
      <c r="G242">
        <v>51.5</v>
      </c>
      <c r="H242">
        <v>3497</v>
      </c>
      <c r="I242">
        <v>-63.32</v>
      </c>
      <c r="J242">
        <v>-44.244999999999997</v>
      </c>
      <c r="K242">
        <v>705.63</v>
      </c>
      <c r="L242">
        <v>-1034.9000000000001</v>
      </c>
      <c r="M242">
        <v>418.1</v>
      </c>
      <c r="N242">
        <v>40.698999999999998</v>
      </c>
      <c r="O242">
        <v>42.497999999999998</v>
      </c>
      <c r="P242">
        <v>23.943999999999999</v>
      </c>
      <c r="Q242">
        <v>-64.594999999999999</v>
      </c>
      <c r="R242">
        <v>99.617999999999995</v>
      </c>
      <c r="S242">
        <v>-42.015999999999998</v>
      </c>
      <c r="T242">
        <v>124.23</v>
      </c>
      <c r="U242">
        <v>-275.95999999999998</v>
      </c>
      <c r="V242">
        <v>801.35</v>
      </c>
      <c r="W242">
        <v>-1121.7</v>
      </c>
      <c r="X242">
        <v>720.12</v>
      </c>
      <c r="Y242">
        <v>-166.88</v>
      </c>
      <c r="Z242">
        <v>95.379000000000005</v>
      </c>
      <c r="AA242">
        <v>-94.293999999999997</v>
      </c>
      <c r="AB242">
        <v>361.45</v>
      </c>
      <c r="AC242">
        <v>-611.59</v>
      </c>
      <c r="AD242">
        <v>493.84</v>
      </c>
      <c r="AE242">
        <v>-156.4</v>
      </c>
      <c r="AF242">
        <v>5.62</v>
      </c>
      <c r="AG242">
        <v>3495</v>
      </c>
      <c r="AH242">
        <v>950</v>
      </c>
    </row>
    <row r="243" spans="1:34" x14ac:dyDescent="0.3">
      <c r="A243" t="s">
        <v>424</v>
      </c>
      <c r="B243" s="114" t="s">
        <v>378</v>
      </c>
      <c r="C243" t="s">
        <v>563</v>
      </c>
      <c r="D243">
        <v>68</v>
      </c>
      <c r="E243">
        <v>574</v>
      </c>
      <c r="F243">
        <v>3001</v>
      </c>
      <c r="G243">
        <v>92.596774922083213</v>
      </c>
      <c r="H243">
        <v>3497</v>
      </c>
      <c r="I243">
        <v>-63.32</v>
      </c>
      <c r="J243">
        <v>-44.244999999999997</v>
      </c>
      <c r="K243">
        <v>705.63</v>
      </c>
      <c r="L243">
        <v>-1034.9000000000001</v>
      </c>
      <c r="M243">
        <v>418.1</v>
      </c>
      <c r="N243">
        <v>40.698999999999998</v>
      </c>
      <c r="O243">
        <v>42.497999999999998</v>
      </c>
      <c r="P243">
        <v>23.943999999999999</v>
      </c>
      <c r="Q243">
        <v>-64.594999999999999</v>
      </c>
      <c r="R243">
        <v>99.617999999999995</v>
      </c>
      <c r="S243">
        <v>-42.015999999999998</v>
      </c>
      <c r="T243">
        <v>124.23</v>
      </c>
      <c r="U243">
        <v>-275.95999999999998</v>
      </c>
      <c r="V243">
        <v>801.35</v>
      </c>
      <c r="W243">
        <v>-1121.7</v>
      </c>
      <c r="X243">
        <v>720.12</v>
      </c>
      <c r="Y243">
        <v>-166.88</v>
      </c>
      <c r="Z243">
        <v>95.379000000000005</v>
      </c>
      <c r="AA243">
        <v>-94.293999999999997</v>
      </c>
      <c r="AB243">
        <v>361.45</v>
      </c>
      <c r="AC243">
        <v>-611.59</v>
      </c>
      <c r="AD243">
        <v>493.84</v>
      </c>
      <c r="AE243">
        <v>-156.4</v>
      </c>
      <c r="AF243">
        <v>5.62</v>
      </c>
      <c r="AG243">
        <v>3495</v>
      </c>
      <c r="AH243">
        <v>950</v>
      </c>
    </row>
    <row r="244" spans="1:34" x14ac:dyDescent="0.3">
      <c r="A244" t="s">
        <v>424</v>
      </c>
      <c r="B244" s="114" t="s">
        <v>378</v>
      </c>
      <c r="C244" t="s">
        <v>564</v>
      </c>
      <c r="D244">
        <v>68</v>
      </c>
      <c r="E244">
        <v>730</v>
      </c>
      <c r="F244">
        <v>3497</v>
      </c>
      <c r="G244">
        <v>116.1</v>
      </c>
      <c r="H244">
        <v>3497</v>
      </c>
      <c r="I244">
        <v>-63.32</v>
      </c>
      <c r="J244">
        <v>-44.244999999999997</v>
      </c>
      <c r="K244">
        <v>705.63</v>
      </c>
      <c r="L244">
        <v>-1034.9000000000001</v>
      </c>
      <c r="M244">
        <v>418.1</v>
      </c>
      <c r="N244">
        <v>40.698999999999998</v>
      </c>
      <c r="O244">
        <v>42.497999999999998</v>
      </c>
      <c r="P244">
        <v>23.943999999999999</v>
      </c>
      <c r="Q244">
        <v>-64.594999999999999</v>
      </c>
      <c r="R244">
        <v>99.617999999999995</v>
      </c>
      <c r="S244">
        <v>-42.015999999999998</v>
      </c>
      <c r="T244">
        <v>124.23</v>
      </c>
      <c r="U244">
        <v>-275.95999999999998</v>
      </c>
      <c r="V244">
        <v>801.35</v>
      </c>
      <c r="W244">
        <v>-1121.7</v>
      </c>
      <c r="X244">
        <v>720.12</v>
      </c>
      <c r="Y244">
        <v>-166.88</v>
      </c>
      <c r="Z244">
        <v>95.379000000000005</v>
      </c>
      <c r="AA244">
        <v>-94.293999999999997</v>
      </c>
      <c r="AB244">
        <v>361.45</v>
      </c>
      <c r="AC244">
        <v>-611.59</v>
      </c>
      <c r="AD244">
        <v>493.84</v>
      </c>
      <c r="AE244">
        <v>-156.4</v>
      </c>
      <c r="AF244">
        <v>5.62</v>
      </c>
      <c r="AG244">
        <v>3495</v>
      </c>
      <c r="AH244">
        <v>950</v>
      </c>
    </row>
    <row r="245" spans="1:34" x14ac:dyDescent="0.3">
      <c r="A245" t="s">
        <v>424</v>
      </c>
      <c r="B245" s="114" t="s">
        <v>378</v>
      </c>
      <c r="C245" t="s">
        <v>565</v>
      </c>
      <c r="D245">
        <v>68</v>
      </c>
      <c r="E245">
        <v>470</v>
      </c>
      <c r="F245">
        <v>3342</v>
      </c>
      <c r="G245">
        <v>78.099999999999994</v>
      </c>
      <c r="H245">
        <v>3497</v>
      </c>
      <c r="I245">
        <v>-63.32</v>
      </c>
      <c r="J245">
        <v>-44.244999999999997</v>
      </c>
      <c r="K245">
        <v>705.63</v>
      </c>
      <c r="L245">
        <v>-1034.9000000000001</v>
      </c>
      <c r="M245">
        <v>418.1</v>
      </c>
      <c r="N245">
        <v>40.698999999999998</v>
      </c>
      <c r="O245">
        <v>42.497999999999998</v>
      </c>
      <c r="P245">
        <v>23.943999999999999</v>
      </c>
      <c r="Q245">
        <v>-64.594999999999999</v>
      </c>
      <c r="R245">
        <v>99.617999999999995</v>
      </c>
      <c r="S245">
        <v>-42.015999999999998</v>
      </c>
      <c r="T245">
        <v>124.23</v>
      </c>
      <c r="U245">
        <v>-275.95999999999998</v>
      </c>
      <c r="V245">
        <v>801.35</v>
      </c>
      <c r="W245">
        <v>-1121.7</v>
      </c>
      <c r="X245">
        <v>720.12</v>
      </c>
      <c r="Y245">
        <v>-166.88</v>
      </c>
      <c r="Z245">
        <v>95.379000000000005</v>
      </c>
      <c r="AA245">
        <v>-94.293999999999997</v>
      </c>
      <c r="AB245">
        <v>361.45</v>
      </c>
      <c r="AC245">
        <v>-611.59</v>
      </c>
      <c r="AD245">
        <v>493.84</v>
      </c>
      <c r="AE245">
        <v>-156.4</v>
      </c>
      <c r="AF245">
        <v>5.62</v>
      </c>
      <c r="AG245">
        <v>3495</v>
      </c>
      <c r="AH245">
        <v>950</v>
      </c>
    </row>
    <row r="246" spans="1:34" x14ac:dyDescent="0.3">
      <c r="A246" t="s">
        <v>424</v>
      </c>
      <c r="B246" s="114" t="s">
        <v>378</v>
      </c>
      <c r="C246" t="s">
        <v>566</v>
      </c>
      <c r="D246">
        <v>68</v>
      </c>
      <c r="E246">
        <v>183</v>
      </c>
      <c r="F246">
        <v>3303</v>
      </c>
      <c r="G246">
        <v>30.7</v>
      </c>
      <c r="H246">
        <v>3497</v>
      </c>
      <c r="I246">
        <v>-63.32</v>
      </c>
      <c r="J246">
        <v>-44.244999999999997</v>
      </c>
      <c r="K246">
        <v>705.63</v>
      </c>
      <c r="L246">
        <v>-1034.9000000000001</v>
      </c>
      <c r="M246">
        <v>418.1</v>
      </c>
      <c r="N246">
        <v>40.698999999999998</v>
      </c>
      <c r="O246">
        <v>42.497999999999998</v>
      </c>
      <c r="P246">
        <v>23.943999999999999</v>
      </c>
      <c r="Q246">
        <v>-64.594999999999999</v>
      </c>
      <c r="R246">
        <v>99.617999999999995</v>
      </c>
      <c r="S246">
        <v>-42.015999999999998</v>
      </c>
      <c r="T246">
        <v>124.23</v>
      </c>
      <c r="U246">
        <v>-275.95999999999998</v>
      </c>
      <c r="V246">
        <v>801.35</v>
      </c>
      <c r="W246">
        <v>-1121.7</v>
      </c>
      <c r="X246">
        <v>720.12</v>
      </c>
      <c r="Y246">
        <v>-166.88</v>
      </c>
      <c r="Z246">
        <v>95.379000000000005</v>
      </c>
      <c r="AA246">
        <v>-94.293999999999997</v>
      </c>
      <c r="AB246">
        <v>361.45</v>
      </c>
      <c r="AC246">
        <v>-611.59</v>
      </c>
      <c r="AD246">
        <v>493.84</v>
      </c>
      <c r="AE246">
        <v>-156.4</v>
      </c>
      <c r="AF246">
        <v>5.62</v>
      </c>
      <c r="AG246">
        <v>3495</v>
      </c>
      <c r="AH246">
        <v>950</v>
      </c>
    </row>
    <row r="247" spans="1:34" x14ac:dyDescent="0.3">
      <c r="A247" t="s">
        <v>424</v>
      </c>
      <c r="B247" s="114" t="s">
        <v>378</v>
      </c>
      <c r="C247" t="s">
        <v>567</v>
      </c>
      <c r="D247">
        <v>25.7</v>
      </c>
      <c r="E247">
        <v>157</v>
      </c>
      <c r="F247">
        <v>2662</v>
      </c>
      <c r="G247">
        <v>30.7</v>
      </c>
      <c r="H247">
        <v>3497</v>
      </c>
      <c r="I247">
        <v>-63.32</v>
      </c>
      <c r="J247">
        <v>-44.244999999999997</v>
      </c>
      <c r="K247">
        <v>705.63</v>
      </c>
      <c r="L247">
        <v>-1034.9000000000001</v>
      </c>
      <c r="M247">
        <v>418.1</v>
      </c>
      <c r="N247">
        <v>40.698999999999998</v>
      </c>
      <c r="O247">
        <v>42.497999999999998</v>
      </c>
      <c r="P247">
        <v>23.943999999999999</v>
      </c>
      <c r="Q247">
        <v>-64.594999999999999</v>
      </c>
      <c r="R247">
        <v>99.617999999999995</v>
      </c>
      <c r="S247">
        <v>-42.015999999999998</v>
      </c>
      <c r="T247">
        <v>124.23</v>
      </c>
      <c r="U247">
        <v>-275.95999999999998</v>
      </c>
      <c r="V247">
        <v>801.35</v>
      </c>
      <c r="W247">
        <v>-1121.7</v>
      </c>
      <c r="X247">
        <v>720.12</v>
      </c>
      <c r="Y247">
        <v>-166.88</v>
      </c>
      <c r="Z247">
        <v>95.379000000000005</v>
      </c>
      <c r="AA247">
        <v>-94.293999999999997</v>
      </c>
      <c r="AB247">
        <v>361.45</v>
      </c>
      <c r="AC247">
        <v>-611.59</v>
      </c>
      <c r="AD247">
        <v>493.84</v>
      </c>
      <c r="AE247">
        <v>-156.4</v>
      </c>
      <c r="AF247">
        <v>5.62</v>
      </c>
      <c r="AG247">
        <v>3495</v>
      </c>
      <c r="AH247">
        <v>950</v>
      </c>
    </row>
    <row r="248" spans="1:34" x14ac:dyDescent="0.3">
      <c r="A248" t="s">
        <v>424</v>
      </c>
      <c r="B248" s="114" t="s">
        <v>378</v>
      </c>
      <c r="C248" t="s">
        <v>534</v>
      </c>
      <c r="D248">
        <v>68</v>
      </c>
      <c r="E248">
        <v>574</v>
      </c>
      <c r="F248">
        <v>3462</v>
      </c>
      <c r="G248">
        <v>92.596774922083213</v>
      </c>
      <c r="H248">
        <v>3497</v>
      </c>
      <c r="I248">
        <v>-63.32</v>
      </c>
      <c r="J248">
        <v>-44.244999999999997</v>
      </c>
      <c r="K248">
        <v>705.63</v>
      </c>
      <c r="L248">
        <v>-1034.9000000000001</v>
      </c>
      <c r="M248">
        <v>418.1</v>
      </c>
      <c r="N248">
        <v>40.698999999999998</v>
      </c>
      <c r="O248">
        <v>42.497999999999998</v>
      </c>
      <c r="P248">
        <v>23.943999999999999</v>
      </c>
      <c r="Q248">
        <v>-64.594999999999999</v>
      </c>
      <c r="R248">
        <v>99.617999999999995</v>
      </c>
      <c r="S248">
        <v>-42.015999999999998</v>
      </c>
      <c r="T248">
        <v>124.23</v>
      </c>
      <c r="U248">
        <v>-275.95999999999998</v>
      </c>
      <c r="V248">
        <v>801.35</v>
      </c>
      <c r="W248">
        <v>-1121.7</v>
      </c>
      <c r="X248">
        <v>720.12</v>
      </c>
      <c r="Y248">
        <v>-166.88</v>
      </c>
      <c r="Z248">
        <v>95.379000000000005</v>
      </c>
      <c r="AA248">
        <v>-94.293999999999997</v>
      </c>
      <c r="AB248">
        <v>361.45</v>
      </c>
      <c r="AC248">
        <v>-611.59</v>
      </c>
      <c r="AD248">
        <v>493.84</v>
      </c>
      <c r="AE248">
        <v>-156.4</v>
      </c>
      <c r="AF248">
        <v>5.62</v>
      </c>
      <c r="AG248">
        <v>3495</v>
      </c>
      <c r="AH248">
        <v>950</v>
      </c>
    </row>
    <row r="249" spans="1:34" x14ac:dyDescent="0.3">
      <c r="A249" t="s">
        <v>424</v>
      </c>
      <c r="B249" s="114" t="s">
        <v>378</v>
      </c>
      <c r="C249" t="s">
        <v>568</v>
      </c>
      <c r="D249">
        <v>68</v>
      </c>
      <c r="E249">
        <v>574</v>
      </c>
      <c r="F249">
        <v>3497</v>
      </c>
      <c r="G249">
        <v>92.596774922083213</v>
      </c>
      <c r="H249">
        <v>3497</v>
      </c>
      <c r="I249">
        <v>-63.32</v>
      </c>
      <c r="J249">
        <v>-44.244999999999997</v>
      </c>
      <c r="K249">
        <v>705.63</v>
      </c>
      <c r="L249">
        <v>-1034.9000000000001</v>
      </c>
      <c r="M249">
        <v>418.1</v>
      </c>
      <c r="N249">
        <v>40.698999999999998</v>
      </c>
      <c r="O249">
        <v>42.497999999999998</v>
      </c>
      <c r="P249">
        <v>23.943999999999999</v>
      </c>
      <c r="Q249">
        <v>-64.594999999999999</v>
      </c>
      <c r="R249">
        <v>99.617999999999995</v>
      </c>
      <c r="S249">
        <v>-42.015999999999998</v>
      </c>
      <c r="T249">
        <v>124.23</v>
      </c>
      <c r="U249">
        <v>-275.95999999999998</v>
      </c>
      <c r="V249">
        <v>801.35</v>
      </c>
      <c r="W249">
        <v>-1121.7</v>
      </c>
      <c r="X249">
        <v>720.12</v>
      </c>
      <c r="Y249">
        <v>-166.88</v>
      </c>
      <c r="Z249">
        <v>95.379000000000005</v>
      </c>
      <c r="AA249">
        <v>-94.293999999999997</v>
      </c>
      <c r="AB249">
        <v>361.45</v>
      </c>
      <c r="AC249">
        <v>-611.59</v>
      </c>
      <c r="AD249">
        <v>493.84</v>
      </c>
      <c r="AE249">
        <v>-156.4</v>
      </c>
      <c r="AF249">
        <v>5.62</v>
      </c>
      <c r="AG249">
        <v>3495</v>
      </c>
      <c r="AH249">
        <v>950</v>
      </c>
    </row>
    <row r="250" spans="1:34" x14ac:dyDescent="0.3">
      <c r="A250" t="s">
        <v>424</v>
      </c>
      <c r="B250" s="114" t="s">
        <v>378</v>
      </c>
      <c r="C250" t="s">
        <v>569</v>
      </c>
      <c r="D250">
        <v>68</v>
      </c>
      <c r="E250">
        <v>626</v>
      </c>
      <c r="F250">
        <v>3096</v>
      </c>
      <c r="G250">
        <v>116.5</v>
      </c>
      <c r="H250">
        <v>3497</v>
      </c>
      <c r="I250">
        <v>-63.32</v>
      </c>
      <c r="J250">
        <v>-44.244999999999997</v>
      </c>
      <c r="K250">
        <v>705.63</v>
      </c>
      <c r="L250">
        <v>-1034.9000000000001</v>
      </c>
      <c r="M250">
        <v>418.1</v>
      </c>
      <c r="N250">
        <v>40.698999999999998</v>
      </c>
      <c r="O250">
        <v>42.497999999999998</v>
      </c>
      <c r="P250">
        <v>23.943999999999999</v>
      </c>
      <c r="Q250">
        <v>-64.594999999999999</v>
      </c>
      <c r="R250">
        <v>99.617999999999995</v>
      </c>
      <c r="S250">
        <v>-42.015999999999998</v>
      </c>
      <c r="T250">
        <v>124.23</v>
      </c>
      <c r="U250">
        <v>-275.95999999999998</v>
      </c>
      <c r="V250">
        <v>801.35</v>
      </c>
      <c r="W250">
        <v>-1121.7</v>
      </c>
      <c r="X250">
        <v>720.12</v>
      </c>
      <c r="Y250">
        <v>-166.88</v>
      </c>
      <c r="Z250">
        <v>95.379000000000005</v>
      </c>
      <c r="AA250">
        <v>-94.293999999999997</v>
      </c>
      <c r="AB250">
        <v>361.45</v>
      </c>
      <c r="AC250">
        <v>-611.59</v>
      </c>
      <c r="AD250">
        <v>493.84</v>
      </c>
      <c r="AE250">
        <v>-156.4</v>
      </c>
      <c r="AF250">
        <v>5.62</v>
      </c>
      <c r="AG250">
        <v>3495</v>
      </c>
      <c r="AH250">
        <v>950</v>
      </c>
    </row>
    <row r="251" spans="1:34" x14ac:dyDescent="0.3">
      <c r="A251" t="s">
        <v>424</v>
      </c>
      <c r="B251" s="114" t="s">
        <v>425</v>
      </c>
      <c r="C251" t="s">
        <v>570</v>
      </c>
      <c r="D251">
        <v>31</v>
      </c>
      <c r="E251">
        <v>320</v>
      </c>
      <c r="F251">
        <v>2068</v>
      </c>
      <c r="G251">
        <v>99</v>
      </c>
      <c r="H251">
        <v>2678.1831999999999</v>
      </c>
      <c r="I251">
        <v>5485.6889000000001</v>
      </c>
      <c r="J251">
        <v>-14259.41</v>
      </c>
      <c r="K251">
        <v>17906.57</v>
      </c>
      <c r="L251">
        <v>-11160.13</v>
      </c>
      <c r="M251">
        <v>2764.1774999999998</v>
      </c>
      <c r="N251">
        <v>-55.941200000000002</v>
      </c>
      <c r="O251">
        <v>543.31503999999995</v>
      </c>
      <c r="P251">
        <v>-1224.143</v>
      </c>
      <c r="Q251">
        <v>1669.5468000000001</v>
      </c>
      <c r="R251">
        <v>-1144.998</v>
      </c>
      <c r="S251">
        <v>312.10921999999999</v>
      </c>
      <c r="T251">
        <v>288.95916999999997</v>
      </c>
      <c r="U251">
        <v>-1608.942</v>
      </c>
      <c r="V251">
        <v>4733.8590999999997</v>
      </c>
      <c r="W251">
        <v>-6670.8010000000004</v>
      </c>
      <c r="X251">
        <v>4530.6298999999999</v>
      </c>
      <c r="Y251">
        <v>-1193.3420000000001</v>
      </c>
      <c r="Z251">
        <v>-53.766300000000001</v>
      </c>
      <c r="AA251">
        <v>701.77335999999991</v>
      </c>
      <c r="AB251">
        <v>-1267.423</v>
      </c>
      <c r="AC251">
        <v>934.89398000000006</v>
      </c>
      <c r="AD251">
        <v>-181.85579999999999</v>
      </c>
      <c r="AE251">
        <v>-49.545999999999999</v>
      </c>
      <c r="AF251">
        <v>4.5599999999999996</v>
      </c>
      <c r="AG251">
        <v>3500</v>
      </c>
      <c r="AH251">
        <v>450</v>
      </c>
    </row>
    <row r="252" spans="1:34" x14ac:dyDescent="0.3">
      <c r="A252" t="s">
        <v>424</v>
      </c>
      <c r="B252" s="114" t="s">
        <v>425</v>
      </c>
      <c r="C252" t="s">
        <v>571</v>
      </c>
      <c r="D252">
        <v>31</v>
      </c>
      <c r="E252">
        <v>298</v>
      </c>
      <c r="F252">
        <v>2924</v>
      </c>
      <c r="G252">
        <v>65</v>
      </c>
      <c r="H252">
        <v>2678.1831999999999</v>
      </c>
      <c r="I252">
        <v>5485.6889000000001</v>
      </c>
      <c r="J252">
        <v>-14259.41</v>
      </c>
      <c r="K252">
        <v>17906.57</v>
      </c>
      <c r="L252">
        <v>-11160.13</v>
      </c>
      <c r="M252">
        <v>2764.1774999999998</v>
      </c>
      <c r="N252">
        <v>-55.941200000000002</v>
      </c>
      <c r="O252">
        <v>543.31503999999995</v>
      </c>
      <c r="P252">
        <v>-1224.143</v>
      </c>
      <c r="Q252">
        <v>1669.5468000000001</v>
      </c>
      <c r="R252">
        <v>-1144.998</v>
      </c>
      <c r="S252">
        <v>312.10921999999999</v>
      </c>
      <c r="T252">
        <v>288.95916999999997</v>
      </c>
      <c r="U252">
        <v>-1608.942</v>
      </c>
      <c r="V252">
        <v>4733.8590999999997</v>
      </c>
      <c r="W252">
        <v>-6670.8010000000004</v>
      </c>
      <c r="X252">
        <v>4530.6298999999999</v>
      </c>
      <c r="Y252">
        <v>-1193.3420000000001</v>
      </c>
      <c r="Z252">
        <v>-53.766300000000001</v>
      </c>
      <c r="AA252">
        <v>701.77335999999991</v>
      </c>
      <c r="AB252">
        <v>-1267.423</v>
      </c>
      <c r="AC252">
        <v>934.89398000000006</v>
      </c>
      <c r="AD252">
        <v>-181.85579999999999</v>
      </c>
      <c r="AE252">
        <v>-49.545999999999999</v>
      </c>
      <c r="AF252">
        <v>4.5599999999999996</v>
      </c>
      <c r="AG252">
        <v>3500</v>
      </c>
      <c r="AH252">
        <v>450</v>
      </c>
    </row>
    <row r="253" spans="1:34" x14ac:dyDescent="0.3">
      <c r="A253" t="s">
        <v>424</v>
      </c>
      <c r="B253" s="114" t="s">
        <v>378</v>
      </c>
      <c r="C253" t="s">
        <v>572</v>
      </c>
      <c r="D253">
        <v>100</v>
      </c>
      <c r="E253">
        <v>1350</v>
      </c>
      <c r="F253">
        <v>4575</v>
      </c>
      <c r="G253">
        <v>177</v>
      </c>
      <c r="H253">
        <v>3497</v>
      </c>
      <c r="I253">
        <v>-63.32</v>
      </c>
      <c r="J253">
        <v>-44.244999999999997</v>
      </c>
      <c r="K253">
        <v>705.63</v>
      </c>
      <c r="L253">
        <v>-1034.9000000000001</v>
      </c>
      <c r="M253">
        <v>418.1</v>
      </c>
      <c r="N253">
        <v>40.698999999999998</v>
      </c>
      <c r="O253">
        <v>42.497999999999998</v>
      </c>
      <c r="P253">
        <v>23.943999999999999</v>
      </c>
      <c r="Q253">
        <v>-64.594999999999999</v>
      </c>
      <c r="R253">
        <v>99.617999999999995</v>
      </c>
      <c r="S253">
        <v>-42.015999999999998</v>
      </c>
      <c r="T253">
        <v>124.23</v>
      </c>
      <c r="U253">
        <v>-275.95999999999998</v>
      </c>
      <c r="V253">
        <v>801.35</v>
      </c>
      <c r="W253">
        <v>-1121.7</v>
      </c>
      <c r="X253">
        <v>720.12</v>
      </c>
      <c r="Y253">
        <v>-166.88</v>
      </c>
      <c r="Z253">
        <v>95.379000000000005</v>
      </c>
      <c r="AA253">
        <v>-94.293999999999997</v>
      </c>
      <c r="AB253">
        <v>361.45</v>
      </c>
      <c r="AC253">
        <v>-611.59</v>
      </c>
      <c r="AD253">
        <v>493.84</v>
      </c>
      <c r="AE253">
        <v>-156.4</v>
      </c>
      <c r="AF253">
        <v>5.62</v>
      </c>
      <c r="AG253">
        <v>3495</v>
      </c>
      <c r="AH253">
        <v>950</v>
      </c>
    </row>
    <row r="254" spans="1:34" x14ac:dyDescent="0.3">
      <c r="A254" t="s">
        <v>424</v>
      </c>
      <c r="B254" s="114" t="s">
        <v>426</v>
      </c>
      <c r="C254" t="s">
        <v>573</v>
      </c>
      <c r="D254">
        <v>25</v>
      </c>
      <c r="E254">
        <v>120</v>
      </c>
      <c r="F254">
        <v>1855</v>
      </c>
      <c r="G254">
        <v>41</v>
      </c>
      <c r="H254">
        <v>3553.7727272726902</v>
      </c>
      <c r="I254">
        <v>80.140151515525105</v>
      </c>
      <c r="J254">
        <v>-187.74038461660999</v>
      </c>
      <c r="K254">
        <v>-463.50524475339802</v>
      </c>
      <c r="L254">
        <v>720.42540792410603</v>
      </c>
      <c r="M254">
        <v>-272.43589743554998</v>
      </c>
      <c r="N254">
        <v>32.636363636362702</v>
      </c>
      <c r="O254">
        <v>-44.876923076915702</v>
      </c>
      <c r="P254">
        <v>329.54545454543398</v>
      </c>
      <c r="Q254">
        <v>-443.24009324006897</v>
      </c>
      <c r="R254">
        <v>301.86480186479002</v>
      </c>
      <c r="S254">
        <v>-76.923076923074902</v>
      </c>
      <c r="T254">
        <v>27.040909090909398</v>
      </c>
      <c r="U254">
        <v>288.25364219114198</v>
      </c>
      <c r="V254">
        <v>-614.01296620046901</v>
      </c>
      <c r="W254">
        <v>687.85693473194601</v>
      </c>
      <c r="X254">
        <v>-391.24417249418701</v>
      </c>
      <c r="Y254">
        <v>88.141025641031504</v>
      </c>
      <c r="Z254">
        <v>28.690909090909301</v>
      </c>
      <c r="AA254">
        <v>216.86381118880999</v>
      </c>
      <c r="AB254">
        <v>-400.77360139860002</v>
      </c>
      <c r="AC254">
        <v>430.95862470862699</v>
      </c>
      <c r="AD254">
        <v>-253.642191142196</v>
      </c>
      <c r="AE254">
        <v>60.8974358974382</v>
      </c>
      <c r="AF254">
        <v>5.5</v>
      </c>
      <c r="AG254">
        <v>3550</v>
      </c>
      <c r="AH254">
        <v>750</v>
      </c>
    </row>
    <row r="255" spans="1:34" x14ac:dyDescent="0.3">
      <c r="A255" t="s">
        <v>424</v>
      </c>
      <c r="B255" s="114" t="s">
        <v>378</v>
      </c>
      <c r="C255" t="s">
        <v>574</v>
      </c>
      <c r="D255">
        <v>30</v>
      </c>
      <c r="E255">
        <v>261</v>
      </c>
      <c r="F255">
        <v>1454</v>
      </c>
      <c r="G255">
        <v>92.596774922083213</v>
      </c>
      <c r="H255">
        <v>3497</v>
      </c>
      <c r="I255">
        <v>-63.32</v>
      </c>
      <c r="J255">
        <v>-44.244999999999997</v>
      </c>
      <c r="K255">
        <v>705.63</v>
      </c>
      <c r="L255">
        <v>-1034.9000000000001</v>
      </c>
      <c r="M255">
        <v>418.1</v>
      </c>
      <c r="N255">
        <v>40.698999999999998</v>
      </c>
      <c r="O255">
        <v>42.497999999999998</v>
      </c>
      <c r="P255">
        <v>23.943999999999999</v>
      </c>
      <c r="Q255">
        <v>-64.594999999999999</v>
      </c>
      <c r="R255">
        <v>99.617999999999995</v>
      </c>
      <c r="S255">
        <v>-42.015999999999998</v>
      </c>
      <c r="T255">
        <v>124.23</v>
      </c>
      <c r="U255">
        <v>-275.95999999999998</v>
      </c>
      <c r="V255">
        <v>801.35</v>
      </c>
      <c r="W255">
        <v>-1121.7</v>
      </c>
      <c r="X255">
        <v>720.12</v>
      </c>
      <c r="Y255">
        <v>-166.88</v>
      </c>
      <c r="Z255">
        <v>95.379000000000005</v>
      </c>
      <c r="AA255">
        <v>-94.293999999999997</v>
      </c>
      <c r="AB255">
        <v>361.45</v>
      </c>
      <c r="AC255">
        <v>-611.59</v>
      </c>
      <c r="AD255">
        <v>493.84</v>
      </c>
      <c r="AE255">
        <v>-156.4</v>
      </c>
      <c r="AF255">
        <v>5.62</v>
      </c>
      <c r="AG255">
        <v>3495</v>
      </c>
      <c r="AH255">
        <v>950</v>
      </c>
    </row>
    <row r="256" spans="1:34" x14ac:dyDescent="0.3">
      <c r="A256" t="s">
        <v>424</v>
      </c>
      <c r="B256" s="114" t="s">
        <v>426</v>
      </c>
      <c r="C256" t="s">
        <v>575</v>
      </c>
      <c r="D256">
        <v>25</v>
      </c>
      <c r="E256">
        <v>200</v>
      </c>
      <c r="F256">
        <v>2012</v>
      </c>
      <c r="G256">
        <v>46</v>
      </c>
      <c r="H256">
        <v>3553.7727272726902</v>
      </c>
      <c r="I256">
        <v>80.140151515525105</v>
      </c>
      <c r="J256">
        <v>-187.74038461660999</v>
      </c>
      <c r="K256">
        <v>-463.50524475339802</v>
      </c>
      <c r="L256">
        <v>720.42540792410603</v>
      </c>
      <c r="M256">
        <v>-272.43589743554998</v>
      </c>
      <c r="N256">
        <v>32.636363636362702</v>
      </c>
      <c r="O256">
        <v>-44.876923076915702</v>
      </c>
      <c r="P256">
        <v>329.54545454543398</v>
      </c>
      <c r="Q256">
        <v>-443.24009324006897</v>
      </c>
      <c r="R256">
        <v>301.86480186479002</v>
      </c>
      <c r="S256">
        <v>-76.923076923074902</v>
      </c>
      <c r="T256">
        <v>27.040909090909398</v>
      </c>
      <c r="U256">
        <v>288.25364219114198</v>
      </c>
      <c r="V256">
        <v>-614.01296620046901</v>
      </c>
      <c r="W256">
        <v>687.85693473194601</v>
      </c>
      <c r="X256">
        <v>-391.24417249418701</v>
      </c>
      <c r="Y256">
        <v>88.141025641031504</v>
      </c>
      <c r="Z256">
        <v>28.690909090909301</v>
      </c>
      <c r="AA256">
        <v>216.86381118880999</v>
      </c>
      <c r="AB256">
        <v>-400.77360139860002</v>
      </c>
      <c r="AC256">
        <v>430.95862470862699</v>
      </c>
      <c r="AD256">
        <v>-253.642191142196</v>
      </c>
      <c r="AE256">
        <v>60.8974358974382</v>
      </c>
      <c r="AF256">
        <v>5.5</v>
      </c>
      <c r="AG256">
        <v>3550</v>
      </c>
      <c r="AH256">
        <v>750</v>
      </c>
    </row>
    <row r="257" spans="1:34" x14ac:dyDescent="0.3">
      <c r="A257" t="s">
        <v>424</v>
      </c>
      <c r="B257" s="114" t="s">
        <v>378</v>
      </c>
      <c r="C257" t="s">
        <v>576</v>
      </c>
      <c r="D257">
        <v>30</v>
      </c>
      <c r="E257">
        <v>230</v>
      </c>
      <c r="F257">
        <v>3112</v>
      </c>
      <c r="G257">
        <v>43.4</v>
      </c>
      <c r="H257">
        <v>3497</v>
      </c>
      <c r="I257">
        <v>-63.32</v>
      </c>
      <c r="J257">
        <v>-44.244999999999997</v>
      </c>
      <c r="K257">
        <v>705.63</v>
      </c>
      <c r="L257">
        <v>-1034.9000000000001</v>
      </c>
      <c r="M257">
        <v>418.1</v>
      </c>
      <c r="N257">
        <v>40.698999999999998</v>
      </c>
      <c r="O257">
        <v>42.497999999999998</v>
      </c>
      <c r="P257">
        <v>23.943999999999999</v>
      </c>
      <c r="Q257">
        <v>-64.594999999999999</v>
      </c>
      <c r="R257">
        <v>99.617999999999995</v>
      </c>
      <c r="S257">
        <v>-42.015999999999998</v>
      </c>
      <c r="T257">
        <v>124.23</v>
      </c>
      <c r="U257">
        <v>-275.95999999999998</v>
      </c>
      <c r="V257">
        <v>801.35</v>
      </c>
      <c r="W257">
        <v>-1121.7</v>
      </c>
      <c r="X257">
        <v>720.12</v>
      </c>
      <c r="Y257">
        <v>-166.88</v>
      </c>
      <c r="Z257">
        <v>95.379000000000005</v>
      </c>
      <c r="AA257">
        <v>-94.293999999999997</v>
      </c>
      <c r="AB257">
        <v>361.45</v>
      </c>
      <c r="AC257">
        <v>-611.59</v>
      </c>
      <c r="AD257">
        <v>493.84</v>
      </c>
      <c r="AE257">
        <v>-156.4</v>
      </c>
      <c r="AF257">
        <v>5.62</v>
      </c>
      <c r="AG257">
        <v>3495</v>
      </c>
      <c r="AH257">
        <v>950</v>
      </c>
    </row>
    <row r="258" spans="1:34" x14ac:dyDescent="0.3">
      <c r="A258" t="s">
        <v>424</v>
      </c>
      <c r="B258" s="114" t="s">
        <v>378</v>
      </c>
      <c r="C258" t="s">
        <v>577</v>
      </c>
      <c r="D258">
        <v>30</v>
      </c>
      <c r="E258">
        <v>235</v>
      </c>
      <c r="F258">
        <v>3144</v>
      </c>
      <c r="G258">
        <v>44</v>
      </c>
      <c r="H258">
        <v>3497</v>
      </c>
      <c r="I258">
        <v>-63.32</v>
      </c>
      <c r="J258">
        <v>-44.244999999999997</v>
      </c>
      <c r="K258">
        <v>705.63</v>
      </c>
      <c r="L258">
        <v>-1034.9000000000001</v>
      </c>
      <c r="M258">
        <v>418.1</v>
      </c>
      <c r="N258">
        <v>40.698999999999998</v>
      </c>
      <c r="O258">
        <v>42.497999999999998</v>
      </c>
      <c r="P258">
        <v>23.943999999999999</v>
      </c>
      <c r="Q258">
        <v>-64.594999999999999</v>
      </c>
      <c r="R258">
        <v>99.617999999999995</v>
      </c>
      <c r="S258">
        <v>-42.015999999999998</v>
      </c>
      <c r="T258">
        <v>124.23</v>
      </c>
      <c r="U258">
        <v>-275.95999999999998</v>
      </c>
      <c r="V258">
        <v>801.35</v>
      </c>
      <c r="W258">
        <v>-1121.7</v>
      </c>
      <c r="X258">
        <v>720.12</v>
      </c>
      <c r="Y258">
        <v>-166.88</v>
      </c>
      <c r="Z258">
        <v>95.379000000000005</v>
      </c>
      <c r="AA258">
        <v>-94.293999999999997</v>
      </c>
      <c r="AB258">
        <v>361.45</v>
      </c>
      <c r="AC258">
        <v>-611.59</v>
      </c>
      <c r="AD258">
        <v>493.84</v>
      </c>
      <c r="AE258">
        <v>-156.4</v>
      </c>
      <c r="AF258">
        <v>5.62</v>
      </c>
      <c r="AG258">
        <v>3495</v>
      </c>
      <c r="AH258">
        <v>950</v>
      </c>
    </row>
    <row r="259" spans="1:34" x14ac:dyDescent="0.3">
      <c r="A259" t="s">
        <v>424</v>
      </c>
      <c r="B259" s="114" t="s">
        <v>378</v>
      </c>
      <c r="C259" t="s">
        <v>578</v>
      </c>
      <c r="D259">
        <v>30</v>
      </c>
      <c r="E259">
        <v>130</v>
      </c>
      <c r="F259">
        <v>1256</v>
      </c>
      <c r="G259">
        <v>57.8</v>
      </c>
      <c r="H259">
        <v>3497</v>
      </c>
      <c r="I259">
        <v>-63.32</v>
      </c>
      <c r="J259">
        <v>-44.244999999999997</v>
      </c>
      <c r="K259">
        <v>705.63</v>
      </c>
      <c r="L259">
        <v>-1034.9000000000001</v>
      </c>
      <c r="M259">
        <v>418.1</v>
      </c>
      <c r="N259">
        <v>40.698999999999998</v>
      </c>
      <c r="O259">
        <v>42.497999999999998</v>
      </c>
      <c r="P259">
        <v>23.943999999999999</v>
      </c>
      <c r="Q259">
        <v>-64.594999999999999</v>
      </c>
      <c r="R259">
        <v>99.617999999999995</v>
      </c>
      <c r="S259">
        <v>-42.015999999999998</v>
      </c>
      <c r="T259">
        <v>124.23</v>
      </c>
      <c r="U259">
        <v>-275.95999999999998</v>
      </c>
      <c r="V259">
        <v>801.35</v>
      </c>
      <c r="W259">
        <v>-1121.7</v>
      </c>
      <c r="X259">
        <v>720.12</v>
      </c>
      <c r="Y259">
        <v>-166.88</v>
      </c>
      <c r="Z259">
        <v>95.379000000000005</v>
      </c>
      <c r="AA259">
        <v>-94.293999999999997</v>
      </c>
      <c r="AB259">
        <v>361.45</v>
      </c>
      <c r="AC259">
        <v>-611.59</v>
      </c>
      <c r="AD259">
        <v>493.84</v>
      </c>
      <c r="AE259">
        <v>-156.4</v>
      </c>
      <c r="AF259">
        <v>5.62</v>
      </c>
      <c r="AG259">
        <v>3495</v>
      </c>
      <c r="AH259">
        <v>950</v>
      </c>
    </row>
    <row r="260" spans="1:34" x14ac:dyDescent="0.3">
      <c r="A260" t="s">
        <v>424</v>
      </c>
      <c r="B260" s="114" t="s">
        <v>378</v>
      </c>
      <c r="C260" t="s">
        <v>579</v>
      </c>
      <c r="D260">
        <v>34</v>
      </c>
      <c r="E260">
        <v>391</v>
      </c>
      <c r="F260">
        <v>1948</v>
      </c>
      <c r="G260">
        <v>92.6</v>
      </c>
      <c r="H260">
        <v>3497</v>
      </c>
      <c r="I260">
        <v>-63.32</v>
      </c>
      <c r="J260">
        <v>-44.244999999999997</v>
      </c>
      <c r="K260">
        <v>705.63</v>
      </c>
      <c r="L260">
        <v>-1034.9000000000001</v>
      </c>
      <c r="M260">
        <v>418.1</v>
      </c>
      <c r="N260">
        <v>40.698999999999998</v>
      </c>
      <c r="O260">
        <v>42.497999999999998</v>
      </c>
      <c r="P260">
        <v>23.943999999999999</v>
      </c>
      <c r="Q260">
        <v>-64.594999999999999</v>
      </c>
      <c r="R260">
        <v>99.617999999999995</v>
      </c>
      <c r="S260">
        <v>-42.015999999999998</v>
      </c>
      <c r="T260">
        <v>124.23</v>
      </c>
      <c r="U260">
        <v>-275.95999999999998</v>
      </c>
      <c r="V260">
        <v>801.35</v>
      </c>
      <c r="W260">
        <v>-1121.7</v>
      </c>
      <c r="X260">
        <v>720.12</v>
      </c>
      <c r="Y260">
        <v>-166.88</v>
      </c>
      <c r="Z260">
        <v>95.379000000000005</v>
      </c>
      <c r="AA260">
        <v>-94.293999999999997</v>
      </c>
      <c r="AB260">
        <v>361.45</v>
      </c>
      <c r="AC260">
        <v>-611.59</v>
      </c>
      <c r="AD260">
        <v>493.84</v>
      </c>
      <c r="AE260">
        <v>-156.4</v>
      </c>
      <c r="AF260">
        <v>5.62</v>
      </c>
      <c r="AG260">
        <v>3495</v>
      </c>
      <c r="AH260">
        <v>950</v>
      </c>
    </row>
    <row r="261" spans="1:34" x14ac:dyDescent="0.3">
      <c r="A261" t="s">
        <v>424</v>
      </c>
      <c r="B261" s="114" t="s">
        <v>378</v>
      </c>
      <c r="C261" t="s">
        <v>538</v>
      </c>
      <c r="D261">
        <v>68</v>
      </c>
      <c r="E261">
        <v>400</v>
      </c>
      <c r="F261">
        <v>3354</v>
      </c>
      <c r="G261">
        <v>74</v>
      </c>
      <c r="H261">
        <v>3497</v>
      </c>
      <c r="I261">
        <v>-63.32</v>
      </c>
      <c r="J261">
        <v>-44.244999999999997</v>
      </c>
      <c r="K261">
        <v>705.63</v>
      </c>
      <c r="L261">
        <v>-1034.9000000000001</v>
      </c>
      <c r="M261">
        <v>418.1</v>
      </c>
      <c r="N261">
        <v>40.698999999999998</v>
      </c>
      <c r="O261">
        <v>42.497999999999998</v>
      </c>
      <c r="P261">
        <v>23.943999999999999</v>
      </c>
      <c r="Q261">
        <v>-64.594999999999999</v>
      </c>
      <c r="R261">
        <v>99.617999999999995</v>
      </c>
      <c r="S261">
        <v>-42.015999999999998</v>
      </c>
      <c r="T261">
        <v>124.23</v>
      </c>
      <c r="U261">
        <v>-275.95999999999998</v>
      </c>
      <c r="V261">
        <v>801.35</v>
      </c>
      <c r="W261">
        <v>-1121.7</v>
      </c>
      <c r="X261">
        <v>720.12</v>
      </c>
      <c r="Y261">
        <v>-166.88</v>
      </c>
      <c r="Z261">
        <v>95.379000000000005</v>
      </c>
      <c r="AA261">
        <v>-94.293999999999997</v>
      </c>
      <c r="AB261">
        <v>361.45</v>
      </c>
      <c r="AC261">
        <v>-611.59</v>
      </c>
      <c r="AD261">
        <v>493.84</v>
      </c>
      <c r="AE261">
        <v>-156.4</v>
      </c>
      <c r="AF261">
        <v>5.62</v>
      </c>
      <c r="AG261">
        <v>3495</v>
      </c>
      <c r="AH261">
        <v>950</v>
      </c>
    </row>
    <row r="262" spans="1:34" x14ac:dyDescent="0.3">
      <c r="A262" t="s">
        <v>424</v>
      </c>
      <c r="B262" s="114" t="s">
        <v>425</v>
      </c>
      <c r="C262" t="s">
        <v>580</v>
      </c>
      <c r="D262">
        <v>61.5</v>
      </c>
      <c r="E262">
        <v>412</v>
      </c>
      <c r="F262">
        <v>3356</v>
      </c>
      <c r="G262">
        <v>78.5</v>
      </c>
      <c r="H262">
        <v>2678.1831999999999</v>
      </c>
      <c r="I262">
        <v>5485.6889000000001</v>
      </c>
      <c r="J262">
        <v>-14259.41</v>
      </c>
      <c r="K262">
        <v>17906.57</v>
      </c>
      <c r="L262">
        <v>-11160.13</v>
      </c>
      <c r="M262">
        <v>2764.1774999999998</v>
      </c>
      <c r="N262">
        <v>-55.941200000000002</v>
      </c>
      <c r="O262">
        <v>543.31503999999995</v>
      </c>
      <c r="P262">
        <v>-1224.143</v>
      </c>
      <c r="Q262">
        <v>1669.5468000000001</v>
      </c>
      <c r="R262">
        <v>-1144.998</v>
      </c>
      <c r="S262">
        <v>312.10921999999999</v>
      </c>
      <c r="T262">
        <v>288.95916999999997</v>
      </c>
      <c r="U262">
        <v>-1608.942</v>
      </c>
      <c r="V262">
        <v>4733.8590999999997</v>
      </c>
      <c r="W262">
        <v>-6670.8010000000004</v>
      </c>
      <c r="X262">
        <v>4530.6298999999999</v>
      </c>
      <c r="Y262">
        <v>-1193.3420000000001</v>
      </c>
      <c r="Z262">
        <v>-53.766300000000001</v>
      </c>
      <c r="AA262">
        <v>701.77335999999991</v>
      </c>
      <c r="AB262">
        <v>-1267.423</v>
      </c>
      <c r="AC262">
        <v>934.89398000000006</v>
      </c>
      <c r="AD262">
        <v>-181.85579999999999</v>
      </c>
      <c r="AE262">
        <v>-49.545999999999999</v>
      </c>
      <c r="AF262">
        <v>4.5599999999999996</v>
      </c>
      <c r="AG262">
        <v>3500</v>
      </c>
      <c r="AH262">
        <v>450</v>
      </c>
    </row>
    <row r="263" spans="1:34" x14ac:dyDescent="0.3">
      <c r="A263" t="s">
        <v>424</v>
      </c>
      <c r="B263" s="114" t="s">
        <v>213</v>
      </c>
      <c r="C263" t="s">
        <v>581</v>
      </c>
      <c r="D263">
        <v>3.8</v>
      </c>
      <c r="E263">
        <v>16</v>
      </c>
      <c r="F263">
        <v>504</v>
      </c>
      <c r="G263">
        <v>17.2</v>
      </c>
      <c r="H263">
        <v>3600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6.6666664252167784</v>
      </c>
      <c r="O263">
        <v>58.981599302336512</v>
      </c>
      <c r="P263">
        <v>99.721276241543364</v>
      </c>
      <c r="Q263">
        <v>-119.78014937945676</v>
      </c>
      <c r="R263">
        <v>71.110021367128951</v>
      </c>
      <c r="S263">
        <v>-16.699079307171225</v>
      </c>
      <c r="T263">
        <v>2.2561963680800545E-4</v>
      </c>
      <c r="U263">
        <v>140.13361481988187</v>
      </c>
      <c r="V263">
        <v>822.24246992137103</v>
      </c>
      <c r="W263">
        <v>-2380.7321324578388</v>
      </c>
      <c r="X263">
        <v>2186.1114627619449</v>
      </c>
      <c r="Y263">
        <v>-677.7303320837774</v>
      </c>
      <c r="Z263">
        <v>9.3622209789145927E-6</v>
      </c>
      <c r="AA263">
        <v>495.78848705178706</v>
      </c>
      <c r="AB263">
        <v>-1097.5258195985868</v>
      </c>
      <c r="AC263">
        <v>1219.4752921873276</v>
      </c>
      <c r="AD263">
        <v>-673.95774517619441</v>
      </c>
      <c r="AE263">
        <v>147.50680013529853</v>
      </c>
      <c r="AF263">
        <v>4.6059999999999999</v>
      </c>
      <c r="AG263">
        <v>3600</v>
      </c>
      <c r="AH263">
        <v>700</v>
      </c>
    </row>
    <row r="264" spans="1:34" x14ac:dyDescent="0.3">
      <c r="A264" t="s">
        <v>424</v>
      </c>
      <c r="B264" s="114" t="s">
        <v>213</v>
      </c>
      <c r="C264" t="s">
        <v>582</v>
      </c>
      <c r="D264">
        <v>3.8</v>
      </c>
      <c r="E264">
        <v>16</v>
      </c>
      <c r="F264">
        <v>396</v>
      </c>
      <c r="G264">
        <v>21.7</v>
      </c>
      <c r="H264">
        <v>3600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6.6666664252167784</v>
      </c>
      <c r="O264">
        <v>58.981599302336512</v>
      </c>
      <c r="P264">
        <v>99.721276241543364</v>
      </c>
      <c r="Q264">
        <v>-119.78014937945676</v>
      </c>
      <c r="R264">
        <v>71.110021367128951</v>
      </c>
      <c r="S264">
        <v>-16.699079307171225</v>
      </c>
      <c r="T264">
        <v>2.2561963680800545E-4</v>
      </c>
      <c r="U264">
        <v>140.13361481988187</v>
      </c>
      <c r="V264">
        <v>822.24246992137103</v>
      </c>
      <c r="W264">
        <v>-2380.7321324578388</v>
      </c>
      <c r="X264">
        <v>2186.1114627619449</v>
      </c>
      <c r="Y264">
        <v>-677.7303320837774</v>
      </c>
      <c r="Z264">
        <v>9.3622209789145927E-6</v>
      </c>
      <c r="AA264">
        <v>495.78848705178706</v>
      </c>
      <c r="AB264">
        <v>-1097.5258195985868</v>
      </c>
      <c r="AC264">
        <v>1219.4752921873276</v>
      </c>
      <c r="AD264">
        <v>-673.95774517619441</v>
      </c>
      <c r="AE264">
        <v>147.50680013529853</v>
      </c>
      <c r="AF264">
        <v>4.6059999999999999</v>
      </c>
      <c r="AG264">
        <v>3600</v>
      </c>
      <c r="AH264">
        <v>700</v>
      </c>
    </row>
    <row r="265" spans="1:34" x14ac:dyDescent="0.3">
      <c r="A265" t="s">
        <v>424</v>
      </c>
      <c r="B265" s="114" t="s">
        <v>213</v>
      </c>
      <c r="C265" t="s">
        <v>583</v>
      </c>
      <c r="D265">
        <v>5.0999999999999996</v>
      </c>
      <c r="E265">
        <v>32</v>
      </c>
      <c r="F265">
        <v>1008</v>
      </c>
      <c r="G265">
        <v>17</v>
      </c>
      <c r="H265">
        <v>3600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6.6666664252167784</v>
      </c>
      <c r="O265">
        <v>58.981599302336512</v>
      </c>
      <c r="P265">
        <v>99.721276241543364</v>
      </c>
      <c r="Q265">
        <v>-119.78014937945676</v>
      </c>
      <c r="R265">
        <v>71.110021367128951</v>
      </c>
      <c r="S265">
        <v>-16.699079307171225</v>
      </c>
      <c r="T265">
        <v>2.2561963680800545E-4</v>
      </c>
      <c r="U265">
        <v>140.13361481988187</v>
      </c>
      <c r="V265">
        <v>822.24246992137103</v>
      </c>
      <c r="W265">
        <v>-2380.7321324578388</v>
      </c>
      <c r="X265">
        <v>2186.1114627619449</v>
      </c>
      <c r="Y265">
        <v>-677.7303320837774</v>
      </c>
      <c r="Z265">
        <v>9.3622209789145927E-6</v>
      </c>
      <c r="AA265">
        <v>495.78848705178706</v>
      </c>
      <c r="AB265">
        <v>-1097.5258195985868</v>
      </c>
      <c r="AC265">
        <v>1219.4752921873276</v>
      </c>
      <c r="AD265">
        <v>-673.95774517619441</v>
      </c>
      <c r="AE265">
        <v>147.50680013529853</v>
      </c>
      <c r="AF265">
        <v>4.6059999999999999</v>
      </c>
      <c r="AG265">
        <v>3600</v>
      </c>
      <c r="AH265">
        <v>700</v>
      </c>
    </row>
    <row r="266" spans="1:34" x14ac:dyDescent="0.3">
      <c r="A266" t="s">
        <v>424</v>
      </c>
      <c r="B266" s="114" t="s">
        <v>213</v>
      </c>
      <c r="C266" t="s">
        <v>584</v>
      </c>
      <c r="D266">
        <v>5.0999999999999996</v>
      </c>
      <c r="E266">
        <v>32</v>
      </c>
      <c r="F266">
        <v>792</v>
      </c>
      <c r="G266">
        <v>21.5</v>
      </c>
      <c r="H266">
        <v>3600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6.6666664252167784</v>
      </c>
      <c r="O266">
        <v>58.981599302336512</v>
      </c>
      <c r="P266">
        <v>99.721276241543364</v>
      </c>
      <c r="Q266">
        <v>-119.78014937945676</v>
      </c>
      <c r="R266">
        <v>71.110021367128951</v>
      </c>
      <c r="S266">
        <v>-16.699079307171225</v>
      </c>
      <c r="T266">
        <v>2.2561963680800545E-4</v>
      </c>
      <c r="U266">
        <v>140.13361481988187</v>
      </c>
      <c r="V266">
        <v>822.24246992137103</v>
      </c>
      <c r="W266">
        <v>-2380.7321324578388</v>
      </c>
      <c r="X266">
        <v>2186.1114627619449</v>
      </c>
      <c r="Y266">
        <v>-677.7303320837774</v>
      </c>
      <c r="Z266">
        <v>9.3622209789145927E-6</v>
      </c>
      <c r="AA266">
        <v>495.78848705178706</v>
      </c>
      <c r="AB266">
        <v>-1097.5258195985868</v>
      </c>
      <c r="AC266">
        <v>1219.4752921873276</v>
      </c>
      <c r="AD266">
        <v>-673.95774517619441</v>
      </c>
      <c r="AE266">
        <v>147.50680013529853</v>
      </c>
      <c r="AF266">
        <v>4.6059999999999999</v>
      </c>
      <c r="AG266">
        <v>3600</v>
      </c>
      <c r="AH266">
        <v>700</v>
      </c>
    </row>
    <row r="267" spans="1:34" x14ac:dyDescent="0.3">
      <c r="A267" t="s">
        <v>424</v>
      </c>
      <c r="B267" s="114" t="s">
        <v>213</v>
      </c>
      <c r="C267" t="s">
        <v>585</v>
      </c>
      <c r="D267">
        <v>6.3451443569553803</v>
      </c>
      <c r="E267">
        <v>48.276792</v>
      </c>
      <c r="F267">
        <v>1500</v>
      </c>
      <c r="G267">
        <v>16.899999999999999</v>
      </c>
      <c r="H267">
        <v>3600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6.6666664252167784</v>
      </c>
      <c r="O267">
        <v>58.981599302336512</v>
      </c>
      <c r="P267">
        <v>99.721276241543364</v>
      </c>
      <c r="Q267">
        <v>-119.78014937945676</v>
      </c>
      <c r="R267">
        <v>71.110021367128951</v>
      </c>
      <c r="S267">
        <v>-16.699079307171225</v>
      </c>
      <c r="T267">
        <v>2.2561963680800545E-4</v>
      </c>
      <c r="U267">
        <v>140.13361481988187</v>
      </c>
      <c r="V267">
        <v>822.24246992137103</v>
      </c>
      <c r="W267">
        <v>-2380.7321324578388</v>
      </c>
      <c r="X267">
        <v>2186.1114627619449</v>
      </c>
      <c r="Y267">
        <v>-677.7303320837774</v>
      </c>
      <c r="Z267">
        <v>9.3622209789145927E-6</v>
      </c>
      <c r="AA267">
        <v>495.78848705178706</v>
      </c>
      <c r="AB267">
        <v>-1097.5258195985868</v>
      </c>
      <c r="AC267">
        <v>1219.4752921873276</v>
      </c>
      <c r="AD267">
        <v>-673.95774517619441</v>
      </c>
      <c r="AE267">
        <v>147.50680013529853</v>
      </c>
      <c r="AF267">
        <v>4.6059999999999999</v>
      </c>
      <c r="AG267">
        <v>3600</v>
      </c>
      <c r="AH267">
        <v>700</v>
      </c>
    </row>
    <row r="268" spans="1:34" x14ac:dyDescent="0.3">
      <c r="A268" t="s">
        <v>424</v>
      </c>
      <c r="B268" s="114" t="s">
        <v>213</v>
      </c>
      <c r="C268" t="s">
        <v>586</v>
      </c>
      <c r="D268">
        <v>6.3451443569553803</v>
      </c>
      <c r="E268">
        <v>48.276792</v>
      </c>
      <c r="F268">
        <v>1200</v>
      </c>
      <c r="G268">
        <v>21.4</v>
      </c>
      <c r="H268">
        <v>3600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6.6666664252167784</v>
      </c>
      <c r="O268">
        <v>58.981599302336512</v>
      </c>
      <c r="P268">
        <v>99.721276241543364</v>
      </c>
      <c r="Q268">
        <v>-119.78014937945676</v>
      </c>
      <c r="R268">
        <v>71.110021367128951</v>
      </c>
      <c r="S268">
        <v>-16.699079307171225</v>
      </c>
      <c r="T268">
        <v>2.2561963680800545E-4</v>
      </c>
      <c r="U268">
        <v>140.13361481988187</v>
      </c>
      <c r="V268">
        <v>822.24246992137103</v>
      </c>
      <c r="W268">
        <v>-2380.7321324578388</v>
      </c>
      <c r="X268">
        <v>2186.1114627619449</v>
      </c>
      <c r="Y268">
        <v>-677.7303320837774</v>
      </c>
      <c r="Z268">
        <v>9.3622209789145927E-6</v>
      </c>
      <c r="AA268">
        <v>495.78848705178706</v>
      </c>
      <c r="AB268">
        <v>-1097.5258195985868</v>
      </c>
      <c r="AC268">
        <v>1219.4752921873276</v>
      </c>
      <c r="AD268">
        <v>-673.95774517619441</v>
      </c>
      <c r="AE268">
        <v>147.50680013529853</v>
      </c>
      <c r="AF268">
        <v>4.6059999999999999</v>
      </c>
      <c r="AG268">
        <v>3600</v>
      </c>
      <c r="AH268">
        <v>700</v>
      </c>
    </row>
    <row r="269" spans="1:34" x14ac:dyDescent="0.3">
      <c r="A269" t="s">
        <v>424</v>
      </c>
      <c r="B269" s="114" t="s">
        <v>213</v>
      </c>
      <c r="C269" t="s">
        <v>587</v>
      </c>
      <c r="D269">
        <v>7.591863517060367</v>
      </c>
      <c r="E269">
        <v>64.369056</v>
      </c>
      <c r="F269">
        <v>2040</v>
      </c>
      <c r="G269">
        <v>16.899999999999999</v>
      </c>
      <c r="H269">
        <v>3600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6.6985643506962962</v>
      </c>
      <c r="O269">
        <v>58.785339011917394</v>
      </c>
      <c r="P269">
        <v>100.19841153456319</v>
      </c>
      <c r="Q269">
        <v>-120.35326014203388</v>
      </c>
      <c r="R269">
        <v>71.45026070381013</v>
      </c>
      <c r="S269">
        <v>-16.778979208161275</v>
      </c>
      <c r="T269">
        <v>-2.0492478540745651E-5</v>
      </c>
      <c r="U269">
        <v>811.28901010449169</v>
      </c>
      <c r="V269">
        <v>-2451.071027807322</v>
      </c>
      <c r="W269">
        <v>3487.8035010515573</v>
      </c>
      <c r="X269">
        <v>-2395.6238603156994</v>
      </c>
      <c r="Y269">
        <v>639.21761388570599</v>
      </c>
      <c r="Z269">
        <v>-1.7891439938466647E-6</v>
      </c>
      <c r="AA269">
        <v>527.68698416361224</v>
      </c>
      <c r="AB269">
        <v>-1251.8986763833577</v>
      </c>
      <c r="AC269">
        <v>1495.7624264313483</v>
      </c>
      <c r="AD269">
        <v>-889.74140833609829</v>
      </c>
      <c r="AE269">
        <v>209.59315566715776</v>
      </c>
      <c r="AF269">
        <v>4.6059999999999999</v>
      </c>
      <c r="AG269">
        <v>3600</v>
      </c>
      <c r="AH269">
        <v>700</v>
      </c>
    </row>
    <row r="270" spans="1:34" x14ac:dyDescent="0.3">
      <c r="A270" t="s">
        <v>424</v>
      </c>
      <c r="B270" s="114" t="s">
        <v>213</v>
      </c>
      <c r="C270" t="s">
        <v>588</v>
      </c>
      <c r="D270">
        <v>7.591863517060367</v>
      </c>
      <c r="E270">
        <v>64.369056</v>
      </c>
      <c r="F270">
        <v>1560</v>
      </c>
      <c r="G270">
        <v>21.4</v>
      </c>
      <c r="H270">
        <v>3600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6.6985643506962962</v>
      </c>
      <c r="O270">
        <v>58.785339011917394</v>
      </c>
      <c r="P270">
        <v>100.19841153456319</v>
      </c>
      <c r="Q270">
        <v>-120.35326014203388</v>
      </c>
      <c r="R270">
        <v>71.45026070381013</v>
      </c>
      <c r="S270">
        <v>-16.778979208161275</v>
      </c>
      <c r="T270">
        <v>-2.0492478540745651E-5</v>
      </c>
      <c r="U270">
        <v>811.28901010449169</v>
      </c>
      <c r="V270">
        <v>-2451.071027807322</v>
      </c>
      <c r="W270">
        <v>3487.8035010515573</v>
      </c>
      <c r="X270">
        <v>-2395.6238603156994</v>
      </c>
      <c r="Y270">
        <v>639.21761388570599</v>
      </c>
      <c r="Z270">
        <v>-1.7891439938466647E-6</v>
      </c>
      <c r="AA270">
        <v>527.68698416361224</v>
      </c>
      <c r="AB270">
        <v>-1251.8986763833577</v>
      </c>
      <c r="AC270">
        <v>1495.7624264313483</v>
      </c>
      <c r="AD270">
        <v>-889.74140833609829</v>
      </c>
      <c r="AE270">
        <v>209.59315566715776</v>
      </c>
      <c r="AF270">
        <v>4.6059999999999999</v>
      </c>
      <c r="AG270">
        <v>3600</v>
      </c>
      <c r="AH270">
        <v>700</v>
      </c>
    </row>
    <row r="271" spans="1:34" x14ac:dyDescent="0.3">
      <c r="A271" t="s">
        <v>424</v>
      </c>
      <c r="B271" s="114" t="s">
        <v>213</v>
      </c>
      <c r="C271" t="s">
        <v>589</v>
      </c>
      <c r="D271">
        <v>8.8385826771653537</v>
      </c>
      <c r="E271">
        <v>80.461319999999972</v>
      </c>
      <c r="F271">
        <v>2520</v>
      </c>
      <c r="G271">
        <v>16.8</v>
      </c>
      <c r="H271">
        <v>3600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6.6985643506962962</v>
      </c>
      <c r="O271">
        <v>58.785339011917394</v>
      </c>
      <c r="P271">
        <v>100.19841153456319</v>
      </c>
      <c r="Q271">
        <v>-120.35326014203388</v>
      </c>
      <c r="R271">
        <v>71.45026070381013</v>
      </c>
      <c r="S271">
        <v>-16.778979208161275</v>
      </c>
      <c r="T271">
        <v>6.1258396755192734E-5</v>
      </c>
      <c r="U271">
        <v>708.86271523220194</v>
      </c>
      <c r="V271">
        <v>-1904.0167218865631</v>
      </c>
      <c r="W271">
        <v>2428.2425999104007</v>
      </c>
      <c r="X271">
        <v>-1511.0194721575529</v>
      </c>
      <c r="Y271">
        <v>369.89047832518861</v>
      </c>
      <c r="Z271">
        <v>-1.7855220022511276E-6</v>
      </c>
      <c r="AA271">
        <v>528.30226017407585</v>
      </c>
      <c r="AB271">
        <v>-1253.3944955269756</v>
      </c>
      <c r="AC271">
        <v>1497.5591286720326</v>
      </c>
      <c r="AD271">
        <v>-890.80805865660056</v>
      </c>
      <c r="AE271">
        <v>209.84364185676401</v>
      </c>
      <c r="AF271">
        <v>4.6059999999999999</v>
      </c>
      <c r="AG271">
        <v>3600</v>
      </c>
      <c r="AH271">
        <v>700</v>
      </c>
    </row>
    <row r="272" spans="1:34" x14ac:dyDescent="0.3">
      <c r="A272" t="s">
        <v>424</v>
      </c>
      <c r="B272" s="114" t="s">
        <v>213</v>
      </c>
      <c r="C272" t="s">
        <v>590</v>
      </c>
      <c r="D272">
        <v>8.8385826771653537</v>
      </c>
      <c r="E272">
        <v>80.461319999999972</v>
      </c>
      <c r="F272">
        <v>1980</v>
      </c>
      <c r="G272">
        <v>21.4</v>
      </c>
      <c r="H272">
        <v>3600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6.6985643506962962</v>
      </c>
      <c r="O272">
        <v>58.785339011917394</v>
      </c>
      <c r="P272">
        <v>100.19841153456319</v>
      </c>
      <c r="Q272">
        <v>-120.35326014203388</v>
      </c>
      <c r="R272">
        <v>71.45026070381013</v>
      </c>
      <c r="S272">
        <v>-16.778979208161275</v>
      </c>
      <c r="T272">
        <v>6.1258396755192734E-5</v>
      </c>
      <c r="U272">
        <v>708.86271523220194</v>
      </c>
      <c r="V272">
        <v>-1904.0167218865631</v>
      </c>
      <c r="W272">
        <v>2428.2425999104007</v>
      </c>
      <c r="X272">
        <v>-1511.0194721575529</v>
      </c>
      <c r="Y272">
        <v>369.89047832518861</v>
      </c>
      <c r="Z272">
        <v>-1.7855220022511276E-6</v>
      </c>
      <c r="AA272">
        <v>528.30226017407585</v>
      </c>
      <c r="AB272">
        <v>-1253.3944955269756</v>
      </c>
      <c r="AC272">
        <v>1497.5591286720326</v>
      </c>
      <c r="AD272">
        <v>-890.80805865660056</v>
      </c>
      <c r="AE272">
        <v>209.84364185676401</v>
      </c>
      <c r="AF272">
        <v>4.6059999999999999</v>
      </c>
      <c r="AG272">
        <v>3600</v>
      </c>
      <c r="AH272">
        <v>700</v>
      </c>
    </row>
    <row r="273" spans="1:34" x14ac:dyDescent="0.3">
      <c r="A273" t="s">
        <v>424</v>
      </c>
      <c r="B273" s="114" t="s">
        <v>213</v>
      </c>
      <c r="C273" t="s">
        <v>591</v>
      </c>
      <c r="D273">
        <v>10.08530183727034</v>
      </c>
      <c r="E273">
        <v>96.553584000000001</v>
      </c>
      <c r="F273">
        <v>3000</v>
      </c>
      <c r="G273">
        <v>16.8</v>
      </c>
      <c r="H273">
        <v>3600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7.3170729057256967</v>
      </c>
      <c r="O273">
        <v>54.979804112327656</v>
      </c>
      <c r="P273">
        <v>109.4501812406847</v>
      </c>
      <c r="Q273">
        <v>-131.46601761153971</v>
      </c>
      <c r="R273">
        <v>78.047584427291014</v>
      </c>
      <c r="S273">
        <v>-18.328257776150512</v>
      </c>
      <c r="T273">
        <v>3.4266492264123372E-5</v>
      </c>
      <c r="U273">
        <v>402.93718148984192</v>
      </c>
      <c r="V273">
        <v>-487.57977846055303</v>
      </c>
      <c r="W273">
        <v>-46.510857632135732</v>
      </c>
      <c r="X273">
        <v>402.35007467443046</v>
      </c>
      <c r="Y273">
        <v>-181.02571571692377</v>
      </c>
      <c r="Z273">
        <v>5.2515358675009338E-6</v>
      </c>
      <c r="AA273">
        <v>517.00021517408652</v>
      </c>
      <c r="AB273">
        <v>-1206.021091586435</v>
      </c>
      <c r="AC273">
        <v>1421.8849156690012</v>
      </c>
      <c r="AD273">
        <v>-838.30963140104723</v>
      </c>
      <c r="AE273">
        <v>196.5383082641107</v>
      </c>
      <c r="AF273">
        <v>4.6059999999999999</v>
      </c>
      <c r="AG273">
        <v>3600</v>
      </c>
      <c r="AH273">
        <v>700</v>
      </c>
    </row>
    <row r="274" spans="1:34" x14ac:dyDescent="0.3">
      <c r="A274" t="s">
        <v>424</v>
      </c>
      <c r="B274" s="114" t="s">
        <v>213</v>
      </c>
      <c r="C274" t="s">
        <v>592</v>
      </c>
      <c r="D274">
        <v>10.08530183727034</v>
      </c>
      <c r="E274">
        <v>96.553584000000001</v>
      </c>
      <c r="F274">
        <v>2400</v>
      </c>
      <c r="G274">
        <v>21.4</v>
      </c>
      <c r="H274">
        <v>3600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6.6985643506962962</v>
      </c>
      <c r="O274">
        <v>58.785339011917394</v>
      </c>
      <c r="P274">
        <v>100.19841153456319</v>
      </c>
      <c r="Q274">
        <v>-120.35326014203388</v>
      </c>
      <c r="R274">
        <v>71.45026070381013</v>
      </c>
      <c r="S274">
        <v>-16.778979208161275</v>
      </c>
      <c r="T274">
        <v>2.768652092299817E-5</v>
      </c>
      <c r="U274">
        <v>686.55838440667446</v>
      </c>
      <c r="V274">
        <v>-1856.7287601959176</v>
      </c>
      <c r="W274">
        <v>2425.6878094418289</v>
      </c>
      <c r="X274">
        <v>-1555.420819027639</v>
      </c>
      <c r="Y274">
        <v>391.81610273149892</v>
      </c>
      <c r="Z274">
        <v>-1.8833094181047727E-5</v>
      </c>
      <c r="AA274">
        <v>377.89807891572366</v>
      </c>
      <c r="AB274">
        <v>-541.74045316041008</v>
      </c>
      <c r="AC274">
        <v>261.31501507060432</v>
      </c>
      <c r="AD274">
        <v>46.581666634749908</v>
      </c>
      <c r="AE274">
        <v>-52.52818595896035</v>
      </c>
      <c r="AF274">
        <v>4.6059999999999999</v>
      </c>
      <c r="AG274">
        <v>3600</v>
      </c>
      <c r="AH274">
        <v>700</v>
      </c>
    </row>
    <row r="275" spans="1:34" x14ac:dyDescent="0.3">
      <c r="A275" t="s">
        <v>424</v>
      </c>
      <c r="B275" s="114" t="s">
        <v>213</v>
      </c>
      <c r="C275" t="s">
        <v>593</v>
      </c>
      <c r="D275">
        <v>11.332020997375329</v>
      </c>
      <c r="E275">
        <v>112.645848</v>
      </c>
      <c r="F275">
        <v>2760</v>
      </c>
      <c r="G275">
        <v>21.4</v>
      </c>
      <c r="H275">
        <v>3600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7.6555021150814575</v>
      </c>
      <c r="O275">
        <v>52.897530299338761</v>
      </c>
      <c r="P275">
        <v>114.51247032519375</v>
      </c>
      <c r="Q275">
        <v>-137.54658301943084</v>
      </c>
      <c r="R275">
        <v>81.657440804327209</v>
      </c>
      <c r="S275">
        <v>-19.175976237891067</v>
      </c>
      <c r="T275">
        <v>-1.4259573212882515E-5</v>
      </c>
      <c r="U275">
        <v>565.75033548833517</v>
      </c>
      <c r="V275">
        <v>-1205.3833604721838</v>
      </c>
      <c r="W275">
        <v>1174.198683504153</v>
      </c>
      <c r="X275">
        <v>-528.32452318004573</v>
      </c>
      <c r="Y275">
        <v>85.562819428194899</v>
      </c>
      <c r="Z275">
        <v>-1.7819004938246508E-6</v>
      </c>
      <c r="AA275">
        <v>528.91753618453845</v>
      </c>
      <c r="AB275">
        <v>-1254.8903146705857</v>
      </c>
      <c r="AC275">
        <v>1499.355830912699</v>
      </c>
      <c r="AD275">
        <v>-891.87470897708624</v>
      </c>
      <c r="AE275">
        <v>210.09412804636517</v>
      </c>
      <c r="AF275">
        <v>4.6059999999999999</v>
      </c>
      <c r="AG275">
        <v>3600</v>
      </c>
      <c r="AH275">
        <v>700</v>
      </c>
    </row>
    <row r="276" spans="1:34" x14ac:dyDescent="0.3">
      <c r="A276" t="s">
        <v>424</v>
      </c>
      <c r="B276" s="114" t="s">
        <v>213</v>
      </c>
      <c r="C276" t="s">
        <v>594</v>
      </c>
      <c r="D276">
        <v>11.332020997375329</v>
      </c>
      <c r="E276">
        <v>112.645848</v>
      </c>
      <c r="F276">
        <v>2280</v>
      </c>
      <c r="G276">
        <v>26.3</v>
      </c>
      <c r="H276">
        <v>3600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5.468749801935604</v>
      </c>
      <c r="O276">
        <v>66.352093177696432</v>
      </c>
      <c r="P276">
        <v>81.802609416897965</v>
      </c>
      <c r="Q276">
        <v>-98.257153787847102</v>
      </c>
      <c r="R276">
        <v>58.332439402731261</v>
      </c>
      <c r="S276">
        <v>-13.698463494166113</v>
      </c>
      <c r="T276">
        <v>-3.0307401559070968E-5</v>
      </c>
      <c r="U276">
        <v>581.43981548386148</v>
      </c>
      <c r="V276">
        <v>-1303.7481152107587</v>
      </c>
      <c r="W276">
        <v>1378.3660426011943</v>
      </c>
      <c r="X276">
        <v>-701.44396721224757</v>
      </c>
      <c r="Y276">
        <v>137.10182652631093</v>
      </c>
      <c r="Z276">
        <v>-2.6945812408030179E-6</v>
      </c>
      <c r="AA276">
        <v>536.56798154737953</v>
      </c>
      <c r="AB276">
        <v>-1294.6105571442697</v>
      </c>
      <c r="AC276">
        <v>1575.7535329251214</v>
      </c>
      <c r="AD276">
        <v>-956.4121615427581</v>
      </c>
      <c r="AE276">
        <v>230.30494159861749</v>
      </c>
      <c r="AF276">
        <v>4.6059999999999999</v>
      </c>
      <c r="AG276">
        <v>3600</v>
      </c>
      <c r="AH276">
        <v>700</v>
      </c>
    </row>
    <row r="277" spans="1:34" x14ac:dyDescent="0.3">
      <c r="A277" t="s">
        <v>424</v>
      </c>
      <c r="B277" s="114" t="s">
        <v>213</v>
      </c>
      <c r="C277" t="s">
        <v>595</v>
      </c>
      <c r="D277">
        <v>12.578740157480315</v>
      </c>
      <c r="E277">
        <v>128.738112</v>
      </c>
      <c r="F277">
        <v>2880</v>
      </c>
      <c r="G277">
        <v>23.7</v>
      </c>
      <c r="H277">
        <v>3600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6.4935062583280239</v>
      </c>
      <c r="O277">
        <v>60.047012307478163</v>
      </c>
      <c r="P277">
        <v>97.131113222246839</v>
      </c>
      <c r="Q277">
        <v>-116.66897666823972</v>
      </c>
      <c r="R277">
        <v>69.263007825077892</v>
      </c>
      <c r="S277">
        <v>-16.26533698749094</v>
      </c>
      <c r="T277">
        <v>3.5212491610536745E-5</v>
      </c>
      <c r="U277">
        <v>635.02340082603428</v>
      </c>
      <c r="V277">
        <v>-1594.5114995381675</v>
      </c>
      <c r="W277">
        <v>1939.8287272291627</v>
      </c>
      <c r="X277">
        <v>-1168.8257321236256</v>
      </c>
      <c r="Y277">
        <v>280.16906189419313</v>
      </c>
      <c r="Z277">
        <v>-2.4265726494832052E-7</v>
      </c>
      <c r="AA277">
        <v>495.8431739654722</v>
      </c>
      <c r="AB277">
        <v>-1097.2801173770586</v>
      </c>
      <c r="AC277">
        <v>1221.287616539995</v>
      </c>
      <c r="AD277">
        <v>-678.53442852579997</v>
      </c>
      <c r="AE277">
        <v>149.88409196289422</v>
      </c>
      <c r="AF277">
        <v>4.6059999999999999</v>
      </c>
      <c r="AG277">
        <v>3600</v>
      </c>
      <c r="AH277">
        <v>700</v>
      </c>
    </row>
    <row r="278" spans="1:34" x14ac:dyDescent="0.3">
      <c r="A278" t="s">
        <v>424</v>
      </c>
      <c r="B278" s="114" t="s">
        <v>213</v>
      </c>
      <c r="C278" t="s">
        <v>596</v>
      </c>
      <c r="D278">
        <v>12.578740157480315</v>
      </c>
      <c r="E278">
        <v>128.738112</v>
      </c>
      <c r="F278">
        <v>2280</v>
      </c>
      <c r="G278">
        <v>29.5</v>
      </c>
      <c r="H278">
        <v>3600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6.5972219832874028</v>
      </c>
      <c r="O278">
        <v>59.408874309611107</v>
      </c>
      <c r="P278">
        <v>98.682512947326558</v>
      </c>
      <c r="Q278">
        <v>-118.53243949002793</v>
      </c>
      <c r="R278">
        <v>70.369291977842337</v>
      </c>
      <c r="S278">
        <v>-16.525130564375178</v>
      </c>
      <c r="T278">
        <v>5.2728990539208098E-5</v>
      </c>
      <c r="U278">
        <v>717.22020521341346</v>
      </c>
      <c r="V278">
        <v>-1920.5127349994598</v>
      </c>
      <c r="W278">
        <v>2408.5049943927274</v>
      </c>
      <c r="X278">
        <v>-1454.2823026914041</v>
      </c>
      <c r="Y278">
        <v>341.14510263856539</v>
      </c>
      <c r="Z278">
        <v>-6.6278002464059682E-7</v>
      </c>
      <c r="AA278">
        <v>464.80449008488421</v>
      </c>
      <c r="AB278">
        <v>-968.76509671683675</v>
      </c>
      <c r="AC278">
        <v>1029.5368232865201</v>
      </c>
      <c r="AD278">
        <v>-554.80299134708366</v>
      </c>
      <c r="AE278">
        <v>120.82769396844152</v>
      </c>
      <c r="AF278">
        <v>4.6059999999999999</v>
      </c>
      <c r="AG278">
        <v>3600</v>
      </c>
      <c r="AH278">
        <v>700</v>
      </c>
    </row>
    <row r="279" spans="1:34" x14ac:dyDescent="0.3">
      <c r="A279" t="s">
        <v>424</v>
      </c>
      <c r="B279" s="114" t="s">
        <v>213</v>
      </c>
      <c r="C279" t="s">
        <v>597</v>
      </c>
      <c r="D279">
        <v>13.825459317585302</v>
      </c>
      <c r="E279">
        <v>144.830376</v>
      </c>
      <c r="F279">
        <v>2520</v>
      </c>
      <c r="G279">
        <v>28.8</v>
      </c>
      <c r="H279">
        <v>3600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6.5972219832874028</v>
      </c>
      <c r="O279">
        <v>59.408874309611107</v>
      </c>
      <c r="P279">
        <v>98.682512947326558</v>
      </c>
      <c r="Q279">
        <v>-118.53243949002793</v>
      </c>
      <c r="R279">
        <v>70.369291977842337</v>
      </c>
      <c r="S279">
        <v>-16.525130564375178</v>
      </c>
      <c r="T279">
        <v>2.2330497529310378E-5</v>
      </c>
      <c r="U279">
        <v>765.96025307241143</v>
      </c>
      <c r="V279">
        <v>-2218.193237803941</v>
      </c>
      <c r="W279">
        <v>3040.412519627484</v>
      </c>
      <c r="X279">
        <v>-2018.0567948597659</v>
      </c>
      <c r="Y279">
        <v>521.78666563601701</v>
      </c>
      <c r="Z279">
        <v>7.7034600494130245E-6</v>
      </c>
      <c r="AA279">
        <v>477.27540759218527</v>
      </c>
      <c r="AB279">
        <v>-1008.6906518192535</v>
      </c>
      <c r="AC279">
        <v>1067.4189992839267</v>
      </c>
      <c r="AD279">
        <v>-560.4318983841282</v>
      </c>
      <c r="AE279">
        <v>116.11745862839804</v>
      </c>
      <c r="AF279">
        <v>4.6059999999999999</v>
      </c>
      <c r="AG279">
        <v>3600</v>
      </c>
      <c r="AH279">
        <v>700</v>
      </c>
    </row>
    <row r="280" spans="1:34" x14ac:dyDescent="0.3">
      <c r="A280" t="s">
        <v>424</v>
      </c>
      <c r="B280" s="114" t="s">
        <v>213</v>
      </c>
      <c r="C280" t="s">
        <v>598</v>
      </c>
      <c r="D280">
        <v>13.825459317585302</v>
      </c>
      <c r="E280">
        <v>144.830376</v>
      </c>
      <c r="F280">
        <v>1920</v>
      </c>
      <c r="G280">
        <v>38.6</v>
      </c>
      <c r="H280">
        <v>3600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6.4766837032546292</v>
      </c>
      <c r="O280">
        <v>60.150517456939269</v>
      </c>
      <c r="P280">
        <v>96.879478213905529</v>
      </c>
      <c r="Q280">
        <v>-116.36672543335865</v>
      </c>
      <c r="R280">
        <v>69.083569980979178</v>
      </c>
      <c r="S280">
        <v>-16.223198808768906</v>
      </c>
      <c r="T280">
        <v>-5.2355969586415085E-5</v>
      </c>
      <c r="U280">
        <v>632.27219301230343</v>
      </c>
      <c r="V280">
        <v>-1521.8722150017982</v>
      </c>
      <c r="W280">
        <v>1728.6697407209044</v>
      </c>
      <c r="X280">
        <v>-952.63595129921157</v>
      </c>
      <c r="Y280">
        <v>205.48884193132926</v>
      </c>
      <c r="Z280">
        <v>1.5432272192583696E-5</v>
      </c>
      <c r="AA280">
        <v>533.85774725765066</v>
      </c>
      <c r="AB280">
        <v>-1287.0187043106541</v>
      </c>
      <c r="AC280">
        <v>1572.4149142529025</v>
      </c>
      <c r="AD280">
        <v>-961.66368234529716</v>
      </c>
      <c r="AE280">
        <v>233.98832058409496</v>
      </c>
      <c r="AF280">
        <v>4.6059999999999999</v>
      </c>
      <c r="AG280">
        <v>3600</v>
      </c>
      <c r="AH280">
        <v>700</v>
      </c>
    </row>
    <row r="281" spans="1:34" x14ac:dyDescent="0.3">
      <c r="A281" t="s">
        <v>424</v>
      </c>
      <c r="B281" s="114" t="s">
        <v>213</v>
      </c>
      <c r="C281" t="s">
        <v>599</v>
      </c>
      <c r="D281">
        <v>15.072178477690288</v>
      </c>
      <c r="E281">
        <v>160.92263999999994</v>
      </c>
      <c r="F281">
        <v>2880</v>
      </c>
      <c r="G281">
        <v>29.6</v>
      </c>
      <c r="H281">
        <v>3600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6.5743942255597965</v>
      </c>
      <c r="O281">
        <v>59.549328031721629</v>
      </c>
      <c r="P281">
        <v>98.341050964816077</v>
      </c>
      <c r="Q281">
        <v>-118.12229264059123</v>
      </c>
      <c r="R281">
        <v>70.125799618064349</v>
      </c>
      <c r="S281">
        <v>-16.467950181801346</v>
      </c>
      <c r="T281">
        <v>-1.9649065094995422E-5</v>
      </c>
      <c r="U281">
        <v>590.88381291895723</v>
      </c>
      <c r="V281">
        <v>-1315.1398826349352</v>
      </c>
      <c r="W281">
        <v>1345.1599392393121</v>
      </c>
      <c r="X281">
        <v>-639.06019764183463</v>
      </c>
      <c r="Y281">
        <v>110.1065091222832</v>
      </c>
      <c r="Z281">
        <v>7.7034600494130245E-6</v>
      </c>
      <c r="AA281">
        <v>477.27540759218527</v>
      </c>
      <c r="AB281">
        <v>-1008.6906518192535</v>
      </c>
      <c r="AC281">
        <v>1067.4189992839267</v>
      </c>
      <c r="AD281">
        <v>-560.4318983841282</v>
      </c>
      <c r="AE281">
        <v>116.11745862839804</v>
      </c>
      <c r="AF281">
        <v>4.6059999999999999</v>
      </c>
      <c r="AG281">
        <v>3600</v>
      </c>
      <c r="AH281">
        <v>700</v>
      </c>
    </row>
    <row r="282" spans="1:34" x14ac:dyDescent="0.3">
      <c r="A282" t="s">
        <v>424</v>
      </c>
      <c r="B282" s="114" t="s">
        <v>213</v>
      </c>
      <c r="C282" t="s">
        <v>600</v>
      </c>
      <c r="D282">
        <v>15.072178477690288</v>
      </c>
      <c r="E282">
        <v>160.92263999999994</v>
      </c>
      <c r="F282">
        <v>2160</v>
      </c>
      <c r="G282">
        <v>39.700000000000003</v>
      </c>
      <c r="H282">
        <v>3600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6.4599480864503445</v>
      </c>
      <c r="O282">
        <v>60.253487696066344</v>
      </c>
      <c r="P282">
        <v>96.629143644887591</v>
      </c>
      <c r="Q282">
        <v>-116.06603622036981</v>
      </c>
      <c r="R282">
        <v>68.905059464245312</v>
      </c>
      <c r="S282">
        <v>-16.181278398413873</v>
      </c>
      <c r="T282">
        <v>-3.0551832026048942E-5</v>
      </c>
      <c r="U282">
        <v>645.78701889311583</v>
      </c>
      <c r="V282">
        <v>-1559.8198742085142</v>
      </c>
      <c r="W282">
        <v>1741.9766810850467</v>
      </c>
      <c r="X282">
        <v>-918.06377881424476</v>
      </c>
      <c r="Y282">
        <v>182.17754817622779</v>
      </c>
      <c r="Z282">
        <v>9.8547785967184609E-6</v>
      </c>
      <c r="AA282">
        <v>549.49935780833255</v>
      </c>
      <c r="AB282">
        <v>-1363.4572231312343</v>
      </c>
      <c r="AC282">
        <v>1709.6601302545778</v>
      </c>
      <c r="AD282">
        <v>-1069.0221887650046</v>
      </c>
      <c r="AE282">
        <v>264.90625525522381</v>
      </c>
      <c r="AF282">
        <v>4.6059999999999999</v>
      </c>
      <c r="AG282">
        <v>3600</v>
      </c>
      <c r="AH282">
        <v>700</v>
      </c>
    </row>
    <row r="283" spans="1:34" x14ac:dyDescent="0.3">
      <c r="A283" t="s">
        <v>424</v>
      </c>
      <c r="B283" s="114" t="s">
        <v>213</v>
      </c>
      <c r="C283" t="s">
        <v>601</v>
      </c>
      <c r="D283">
        <v>16.318897637795274</v>
      </c>
      <c r="E283">
        <v>177.014904</v>
      </c>
      <c r="F283">
        <v>3000</v>
      </c>
      <c r="G283">
        <v>29.1</v>
      </c>
      <c r="H283">
        <v>3600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6.5292093855215469</v>
      </c>
      <c r="O283">
        <v>59.827339522913732</v>
      </c>
      <c r="P283">
        <v>97.665167453025049</v>
      </c>
      <c r="Q283">
        <v>-117.31045557776012</v>
      </c>
      <c r="R283">
        <v>69.643835359514028</v>
      </c>
      <c r="S283">
        <v>-16.354768393608335</v>
      </c>
      <c r="T283">
        <v>-3.8756114363991401E-5</v>
      </c>
      <c r="U283">
        <v>482.74189169898926</v>
      </c>
      <c r="V283">
        <v>-769.90340541070293</v>
      </c>
      <c r="W283">
        <v>346.52561673386441</v>
      </c>
      <c r="X283">
        <v>156.07339659891397</v>
      </c>
      <c r="Y283">
        <v>-122.57586506787713</v>
      </c>
      <c r="Z283">
        <v>3.5927748598396647E-6</v>
      </c>
      <c r="AA283">
        <v>498.4871357144894</v>
      </c>
      <c r="AB283">
        <v>-1117.1859238071263</v>
      </c>
      <c r="AC283">
        <v>1269.8286227656477</v>
      </c>
      <c r="AD283">
        <v>-724.7837846090207</v>
      </c>
      <c r="AE283">
        <v>165.14896675722278</v>
      </c>
      <c r="AF283">
        <v>4.6059999999999999</v>
      </c>
      <c r="AG283">
        <v>3600</v>
      </c>
      <c r="AH283">
        <v>700</v>
      </c>
    </row>
    <row r="284" spans="1:34" x14ac:dyDescent="0.3">
      <c r="A284" t="s">
        <v>424</v>
      </c>
      <c r="B284" s="114" t="s">
        <v>213</v>
      </c>
      <c r="C284" t="s">
        <v>602</v>
      </c>
      <c r="D284">
        <v>16.318897637795274</v>
      </c>
      <c r="E284">
        <v>177.014904</v>
      </c>
      <c r="F284">
        <v>2280</v>
      </c>
      <c r="G284">
        <v>39.200000000000003</v>
      </c>
      <c r="H284">
        <v>3600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6.4102561780930252</v>
      </c>
      <c r="O284">
        <v>60.559230098399986</v>
      </c>
      <c r="P284">
        <v>95.885842539947902</v>
      </c>
      <c r="Q284">
        <v>-115.17322055717338</v>
      </c>
      <c r="R284">
        <v>68.375020545318236</v>
      </c>
      <c r="S284">
        <v>-16.056807026126521</v>
      </c>
      <c r="T284">
        <v>1.9969464119640179E-5</v>
      </c>
      <c r="U284">
        <v>781.02849160151084</v>
      </c>
      <c r="V284">
        <v>-2273.2354080152536</v>
      </c>
      <c r="W284">
        <v>3119.6929626186488</v>
      </c>
      <c r="X284">
        <v>-2069.1690244903202</v>
      </c>
      <c r="Y284">
        <v>534.04497722589247</v>
      </c>
      <c r="Z284">
        <v>1.4878144483532196E-5</v>
      </c>
      <c r="AA284">
        <v>520.6371843231816</v>
      </c>
      <c r="AB284">
        <v>-1215.2417086696566</v>
      </c>
      <c r="AC284">
        <v>1430.8528047604054</v>
      </c>
      <c r="AD284">
        <v>-840.1328499744227</v>
      </c>
      <c r="AE284">
        <v>195.66393357414336</v>
      </c>
      <c r="AF284">
        <v>4.6059999999999999</v>
      </c>
      <c r="AG284">
        <v>3600</v>
      </c>
      <c r="AH284">
        <v>700</v>
      </c>
    </row>
    <row r="285" spans="1:34" x14ac:dyDescent="0.3">
      <c r="A285" t="s">
        <v>424</v>
      </c>
      <c r="B285" s="114" t="s">
        <v>213</v>
      </c>
      <c r="C285" t="s">
        <v>603</v>
      </c>
      <c r="D285">
        <v>17.565616797900262</v>
      </c>
      <c r="E285">
        <v>193.107168</v>
      </c>
      <c r="F285">
        <v>2520</v>
      </c>
      <c r="G285">
        <v>39</v>
      </c>
      <c r="H285">
        <v>3600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6.4102561780930252</v>
      </c>
      <c r="O285">
        <v>60.559230098399986</v>
      </c>
      <c r="P285">
        <v>95.885842539947902</v>
      </c>
      <c r="Q285">
        <v>-115.17322055717338</v>
      </c>
      <c r="R285">
        <v>68.375020545318236</v>
      </c>
      <c r="S285">
        <v>-16.056807026126521</v>
      </c>
      <c r="T285">
        <v>9.9276482501409191E-6</v>
      </c>
      <c r="U285">
        <v>649.4259657819141</v>
      </c>
      <c r="V285">
        <v>-1621.5223357036039</v>
      </c>
      <c r="W285">
        <v>1934.1307022448402</v>
      </c>
      <c r="X285">
        <v>-1129.5944433039685</v>
      </c>
      <c r="Y285">
        <v>259.89726495179997</v>
      </c>
      <c r="Z285">
        <v>-2.6945812408030179E-6</v>
      </c>
      <c r="AA285">
        <v>536.56798154737953</v>
      </c>
      <c r="AB285">
        <v>-1294.6105571442697</v>
      </c>
      <c r="AC285">
        <v>1575.7535329251214</v>
      </c>
      <c r="AD285">
        <v>-956.4121615427581</v>
      </c>
      <c r="AE285">
        <v>230.30494159861749</v>
      </c>
      <c r="AF285">
        <v>4.6059999999999999</v>
      </c>
      <c r="AG285">
        <v>3600</v>
      </c>
      <c r="AH285">
        <v>700</v>
      </c>
    </row>
    <row r="286" spans="1:34" x14ac:dyDescent="0.3">
      <c r="A286" t="s">
        <v>424</v>
      </c>
      <c r="B286" s="114" t="s">
        <v>213</v>
      </c>
      <c r="C286" t="s">
        <v>604</v>
      </c>
      <c r="D286">
        <v>18.812335958005249</v>
      </c>
      <c r="E286">
        <v>209.199432</v>
      </c>
      <c r="F286">
        <v>2760</v>
      </c>
      <c r="G286">
        <v>39</v>
      </c>
      <c r="H286">
        <v>3600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6.4102561780930252</v>
      </c>
      <c r="O286">
        <v>60.559230098399986</v>
      </c>
      <c r="P286">
        <v>95.885842539947902</v>
      </c>
      <c r="Q286">
        <v>-115.17322055717338</v>
      </c>
      <c r="R286">
        <v>68.375020545318236</v>
      </c>
      <c r="S286">
        <v>-16.056807026126521</v>
      </c>
      <c r="T286">
        <v>3.1934192179505771E-7</v>
      </c>
      <c r="U286">
        <v>699.60303021867821</v>
      </c>
      <c r="V286">
        <v>-1866.3616334852125</v>
      </c>
      <c r="W286">
        <v>2369.1265357606103</v>
      </c>
      <c r="X286">
        <v>-1465.5062038909066</v>
      </c>
      <c r="Y286">
        <v>355.49052477817429</v>
      </c>
      <c r="Z286">
        <v>6.7944008605991257E-6</v>
      </c>
      <c r="AA286">
        <v>485.54112896548986</v>
      </c>
      <c r="AB286">
        <v>-1049.9067134365532</v>
      </c>
      <c r="AC286">
        <v>1145.6134035370276</v>
      </c>
      <c r="AD286">
        <v>-626.03600127029699</v>
      </c>
      <c r="AE286">
        <v>136.5787583702552</v>
      </c>
      <c r="AF286">
        <v>4.6059999999999999</v>
      </c>
      <c r="AG286">
        <v>3600</v>
      </c>
      <c r="AH286">
        <v>700</v>
      </c>
    </row>
    <row r="287" spans="1:34" x14ac:dyDescent="0.3">
      <c r="A287" t="s">
        <v>424</v>
      </c>
      <c r="B287" s="114" t="s">
        <v>213</v>
      </c>
      <c r="C287" t="s">
        <v>605</v>
      </c>
      <c r="D287">
        <v>20.059055118110233</v>
      </c>
      <c r="E287">
        <v>241.38396</v>
      </c>
      <c r="F287">
        <v>2940</v>
      </c>
      <c r="G287">
        <v>43.3</v>
      </c>
      <c r="H287">
        <v>3600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5.9101652705822234</v>
      </c>
      <c r="O287">
        <v>63.636169594277241</v>
      </c>
      <c r="P287">
        <v>88.405386738921976</v>
      </c>
      <c r="Q287">
        <v>-106.18807569094574</v>
      </c>
      <c r="R287">
        <v>63.04079908428583</v>
      </c>
      <c r="S287">
        <v>-14.804148321946339</v>
      </c>
      <c r="T287">
        <v>1.5677879332542943E-6</v>
      </c>
      <c r="U287">
        <v>693.75949835535368</v>
      </c>
      <c r="V287">
        <v>-1866.1476207022267</v>
      </c>
      <c r="W287">
        <v>2398.2517277697198</v>
      </c>
      <c r="X287">
        <v>-1501.0354866620805</v>
      </c>
      <c r="Y287">
        <v>367.32753185408433</v>
      </c>
      <c r="Z287">
        <v>-2.2092675067142409E-7</v>
      </c>
      <c r="AA287">
        <v>499.53483002825658</v>
      </c>
      <c r="AB287">
        <v>-1106.2550322387722</v>
      </c>
      <c r="AC287">
        <v>1232.0678299841011</v>
      </c>
      <c r="AD287">
        <v>-684.93433044880658</v>
      </c>
      <c r="AE287">
        <v>151.38700910052967</v>
      </c>
      <c r="AF287">
        <v>4.6059999999999999</v>
      </c>
      <c r="AG287">
        <v>3600</v>
      </c>
      <c r="AH287">
        <v>700</v>
      </c>
    </row>
    <row r="288" spans="1:34" x14ac:dyDescent="0.3">
      <c r="A288" t="s">
        <v>424</v>
      </c>
      <c r="B288" s="114" t="s">
        <v>213</v>
      </c>
      <c r="C288" t="s">
        <v>606</v>
      </c>
      <c r="D288">
        <v>20.059055118110233</v>
      </c>
      <c r="E288">
        <v>241.38396</v>
      </c>
      <c r="F288">
        <v>2400</v>
      </c>
      <c r="G288">
        <v>55.3</v>
      </c>
      <c r="H288">
        <v>3600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5.9171595490089395</v>
      </c>
      <c r="O288">
        <v>63.593135475450993</v>
      </c>
      <c r="P288">
        <v>88.510008498390491</v>
      </c>
      <c r="Q288">
        <v>-106.31374205273521</v>
      </c>
      <c r="R288">
        <v>63.115403580262885</v>
      </c>
      <c r="S288">
        <v>-14.82166802410803</v>
      </c>
      <c r="T288">
        <v>-1.375382549895221E-5</v>
      </c>
      <c r="U288">
        <v>619.28709182337161</v>
      </c>
      <c r="V288">
        <v>-1499.0018190837034</v>
      </c>
      <c r="W288">
        <v>1739.5946970490561</v>
      </c>
      <c r="X288">
        <v>-988.7384325906022</v>
      </c>
      <c r="Y288">
        <v>220.89193786975287</v>
      </c>
      <c r="Z288">
        <v>5.5630061694955657E-6</v>
      </c>
      <c r="AA288">
        <v>591.69728540737935</v>
      </c>
      <c r="AB288">
        <v>-1526.7448712712369</v>
      </c>
      <c r="AC288">
        <v>1947.2346417016233</v>
      </c>
      <c r="AD288">
        <v>-1221.7082256311503</v>
      </c>
      <c r="AE288">
        <v>301.41345390364938</v>
      </c>
      <c r="AF288">
        <v>4.6059999999999999</v>
      </c>
      <c r="AG288">
        <v>3600</v>
      </c>
      <c r="AH288">
        <v>700</v>
      </c>
    </row>
    <row r="289" spans="1:34" x14ac:dyDescent="0.3">
      <c r="A289" t="s">
        <v>424</v>
      </c>
      <c r="B289" s="114" t="s">
        <v>213</v>
      </c>
      <c r="C289" t="s">
        <v>607</v>
      </c>
      <c r="D289">
        <v>22.552493438320209</v>
      </c>
      <c r="E289">
        <v>281.61462</v>
      </c>
      <c r="F289">
        <v>2760</v>
      </c>
      <c r="G289">
        <v>52.2</v>
      </c>
      <c r="H289">
        <v>3600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5.7471262286351221</v>
      </c>
      <c r="O289">
        <v>64.639309743394449</v>
      </c>
      <c r="P289">
        <v>85.966617449602097</v>
      </c>
      <c r="Q289">
        <v>-103.25874946504116</v>
      </c>
      <c r="R289">
        <v>61.301742557863477</v>
      </c>
      <c r="S289">
        <v>-14.395758023421559</v>
      </c>
      <c r="T289">
        <v>-2.1947938273925161E-5</v>
      </c>
      <c r="U289">
        <v>490.94541634936434</v>
      </c>
      <c r="V289">
        <v>-887.31895866237312</v>
      </c>
      <c r="W289">
        <v>658.32009945639766</v>
      </c>
      <c r="X289">
        <v>-153.07094763616394</v>
      </c>
      <c r="Y289">
        <v>-17.272983997011348</v>
      </c>
      <c r="Z289">
        <v>5.5630061694955657E-6</v>
      </c>
      <c r="AA289">
        <v>591.69728540737935</v>
      </c>
      <c r="AB289">
        <v>-1526.7448712712369</v>
      </c>
      <c r="AC289">
        <v>1947.2346417016233</v>
      </c>
      <c r="AD289">
        <v>-1221.7082256311503</v>
      </c>
      <c r="AE289">
        <v>301.41345390364938</v>
      </c>
      <c r="AF289">
        <v>4.6059999999999999</v>
      </c>
      <c r="AG289">
        <v>3600</v>
      </c>
      <c r="AH289">
        <v>700</v>
      </c>
    </row>
    <row r="290" spans="1:34" x14ac:dyDescent="0.3">
      <c r="A290" t="s">
        <v>424</v>
      </c>
      <c r="B290" s="114" t="s">
        <v>213</v>
      </c>
      <c r="C290" t="s">
        <v>608</v>
      </c>
      <c r="D290">
        <v>25.045931758530184</v>
      </c>
      <c r="E290">
        <v>324</v>
      </c>
      <c r="F290">
        <v>3261</v>
      </c>
      <c r="G290">
        <v>54.2</v>
      </c>
      <c r="H290">
        <v>3600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5.5350551500877083</v>
      </c>
      <c r="O290">
        <v>65.94413226209268</v>
      </c>
      <c r="P290">
        <v>82.794417543692504</v>
      </c>
      <c r="Q290">
        <v>-99.448463506886668</v>
      </c>
      <c r="R290">
        <v>59.039685636882773</v>
      </c>
      <c r="S290">
        <v>-13.864549240262134</v>
      </c>
      <c r="T290">
        <v>-1.5973179920081293E-5</v>
      </c>
      <c r="U290">
        <v>461.63513354276682</v>
      </c>
      <c r="V290">
        <v>-771.6911242846187</v>
      </c>
      <c r="W290">
        <v>459.03659043101766</v>
      </c>
      <c r="X290">
        <v>8.7524435243218548</v>
      </c>
      <c r="Y290">
        <v>-67.605838601251193</v>
      </c>
      <c r="Z290">
        <v>5.5666279195065727E-6</v>
      </c>
      <c r="AA290">
        <v>592.31256141785389</v>
      </c>
      <c r="AB290">
        <v>-1528.2406904149061</v>
      </c>
      <c r="AC290">
        <v>1949.031343942396</v>
      </c>
      <c r="AD290">
        <v>-1222.7748759517197</v>
      </c>
      <c r="AE290">
        <v>301.66394009327519</v>
      </c>
      <c r="AF290">
        <v>4.6059999999999999</v>
      </c>
      <c r="AG290">
        <v>3600</v>
      </c>
      <c r="AH290">
        <v>700</v>
      </c>
    </row>
    <row r="291" spans="1:34" x14ac:dyDescent="0.3">
      <c r="A291" t="s">
        <v>424</v>
      </c>
      <c r="B291" s="114" t="s">
        <v>213</v>
      </c>
      <c r="C291" t="s">
        <v>609</v>
      </c>
      <c r="D291">
        <v>22.6</v>
      </c>
      <c r="E291">
        <v>370</v>
      </c>
      <c r="F291">
        <v>3360</v>
      </c>
      <c r="G291">
        <v>57.1</v>
      </c>
      <c r="H291">
        <v>3600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5.5350551500877083</v>
      </c>
      <c r="O291">
        <v>65.94413226209268</v>
      </c>
      <c r="P291">
        <v>82.794417543692504</v>
      </c>
      <c r="Q291">
        <v>-99.448463506886668</v>
      </c>
      <c r="R291">
        <v>59.039685636882773</v>
      </c>
      <c r="S291">
        <v>-13.864549240262134</v>
      </c>
      <c r="T291">
        <v>-1.5973179920081293E-5</v>
      </c>
      <c r="U291">
        <v>461.63513354276682</v>
      </c>
      <c r="V291">
        <v>-771.6911242846187</v>
      </c>
      <c r="W291">
        <v>459.03659043101766</v>
      </c>
      <c r="X291">
        <v>8.7524435243218548</v>
      </c>
      <c r="Y291">
        <v>-67.605838601251193</v>
      </c>
      <c r="Z291">
        <v>5.5666279195065727E-6</v>
      </c>
      <c r="AA291">
        <v>592.31256141785389</v>
      </c>
      <c r="AB291">
        <v>-1528.2406904149061</v>
      </c>
      <c r="AC291">
        <v>1949.031343942396</v>
      </c>
      <c r="AD291">
        <v>-1222.7748759517197</v>
      </c>
      <c r="AE291">
        <v>301.66394009327519</v>
      </c>
      <c r="AF291">
        <v>4.6059999999999999</v>
      </c>
      <c r="AG291">
        <v>3600</v>
      </c>
      <c r="AH291">
        <v>700</v>
      </c>
    </row>
    <row r="292" spans="1:34" x14ac:dyDescent="0.3">
      <c r="A292" t="s">
        <v>424</v>
      </c>
      <c r="B292" s="114" t="s">
        <v>213</v>
      </c>
      <c r="C292" t="s">
        <v>610</v>
      </c>
      <c r="D292">
        <v>24.9</v>
      </c>
      <c r="E292">
        <v>402</v>
      </c>
      <c r="F292">
        <v>3720</v>
      </c>
      <c r="G292">
        <v>57</v>
      </c>
      <c r="H292">
        <v>3600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5.5350551500877083</v>
      </c>
      <c r="O292">
        <v>65.94413226209268</v>
      </c>
      <c r="P292">
        <v>82.794417543692504</v>
      </c>
      <c r="Q292">
        <v>-99.448463506886668</v>
      </c>
      <c r="R292">
        <v>59.039685636882773</v>
      </c>
      <c r="S292">
        <v>-13.864549240262134</v>
      </c>
      <c r="T292">
        <v>-1.5973179920081293E-5</v>
      </c>
      <c r="U292">
        <v>461.63513354276682</v>
      </c>
      <c r="V292">
        <v>-771.6911242846187</v>
      </c>
      <c r="W292">
        <v>459.03659043101766</v>
      </c>
      <c r="X292">
        <v>8.7524435243218548</v>
      </c>
      <c r="Y292">
        <v>-67.605838601251193</v>
      </c>
      <c r="Z292">
        <v>5.5666279195065727E-6</v>
      </c>
      <c r="AA292">
        <v>592.31256141785389</v>
      </c>
      <c r="AB292">
        <v>-1528.2406904149061</v>
      </c>
      <c r="AC292">
        <v>1949.031343942396</v>
      </c>
      <c r="AD292">
        <v>-1222.7748759517197</v>
      </c>
      <c r="AE292">
        <v>301.66394009327519</v>
      </c>
      <c r="AF292">
        <v>4.6059999999999999</v>
      </c>
      <c r="AG292">
        <v>3600</v>
      </c>
      <c r="AH292">
        <v>700</v>
      </c>
    </row>
    <row r="293" spans="1:34" x14ac:dyDescent="0.3">
      <c r="A293" t="s">
        <v>424</v>
      </c>
      <c r="B293" s="114" t="s">
        <v>378</v>
      </c>
      <c r="C293" t="s">
        <v>611</v>
      </c>
      <c r="D293">
        <v>102</v>
      </c>
      <c r="E293">
        <v>1173</v>
      </c>
      <c r="F293">
        <v>4362</v>
      </c>
      <c r="G293">
        <v>160.80000000000001</v>
      </c>
      <c r="H293">
        <v>3497</v>
      </c>
      <c r="I293">
        <v>-63.32</v>
      </c>
      <c r="J293">
        <v>-44.244999999999997</v>
      </c>
      <c r="K293">
        <v>705.63</v>
      </c>
      <c r="L293">
        <v>-1034.9000000000001</v>
      </c>
      <c r="M293">
        <v>418.1</v>
      </c>
      <c r="N293">
        <v>40.698999999999998</v>
      </c>
      <c r="O293">
        <v>42.497999999999998</v>
      </c>
      <c r="P293">
        <v>23.943999999999999</v>
      </c>
      <c r="Q293">
        <v>-64.594999999999999</v>
      </c>
      <c r="R293">
        <v>99.617999999999995</v>
      </c>
      <c r="S293">
        <v>-42.015999999999998</v>
      </c>
      <c r="T293">
        <v>124.23</v>
      </c>
      <c r="U293">
        <v>-275.95999999999998</v>
      </c>
      <c r="V293">
        <v>801.35</v>
      </c>
      <c r="W293">
        <v>-1121.7</v>
      </c>
      <c r="X293">
        <v>720.12</v>
      </c>
      <c r="Y293">
        <v>-166.88</v>
      </c>
      <c r="Z293">
        <v>95.379000000000005</v>
      </c>
      <c r="AA293">
        <v>-94.293999999999997</v>
      </c>
      <c r="AB293">
        <v>361.45</v>
      </c>
      <c r="AC293">
        <v>-611.59</v>
      </c>
      <c r="AD293">
        <v>493.84</v>
      </c>
      <c r="AE293">
        <v>-156.4</v>
      </c>
      <c r="AF293">
        <v>5.62</v>
      </c>
      <c r="AG293">
        <v>3495</v>
      </c>
      <c r="AH293">
        <v>1250</v>
      </c>
    </row>
  </sheetData>
  <autoFilter ref="A3:AH293" xr:uid="{E430685C-2EB8-41AB-A6F6-39B25D30911C}"/>
  <mergeCells count="6">
    <mergeCell ref="AF1:AJ1"/>
    <mergeCell ref="A1:G1"/>
    <mergeCell ref="H1:M1"/>
    <mergeCell ref="N1:S1"/>
    <mergeCell ref="T1:Y1"/>
    <mergeCell ref="Z1:AE1"/>
  </mergeCells>
  <dataValidations count="1">
    <dataValidation type="list" allowBlank="1" showInputMessage="1" promptTitle="Manufacturer Name" prompt="Select a manufacturer from the list, or enter a new manufacturer using a short name" sqref="A33:A77" xr:uid="{57997911-BCD3-40C5-9C51-03603FDED547}">
      <formula1>$A$1010:$A$1026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PUMP</vt:lpstr>
      <vt:lpstr>MOTORS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Jimenez Mieles</dc:creator>
  <cp:keywords/>
  <dc:description/>
  <cp:lastModifiedBy>Andres Jimenez</cp:lastModifiedBy>
  <cp:revision/>
  <dcterms:created xsi:type="dcterms:W3CDTF">2025-12-16T12:12:18Z</dcterms:created>
  <dcterms:modified xsi:type="dcterms:W3CDTF">2026-06-09T15:18:15Z</dcterms:modified>
  <cp:category/>
  <cp:contentStatus/>
</cp:coreProperties>
</file>